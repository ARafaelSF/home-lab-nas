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VLans" sheetId="1" state="visible" r:id="rId1"/>
    <sheet xmlns:r="http://schemas.openxmlformats.org/officeDocument/2006/relationships" name="Redes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Clientes" sheetId="4" state="visible" r:id="rId4"/>
  </sheets>
  <definedNames>
    <definedName name="ListaPlataforma" localSheetId="0">tblGrupos[Plataforma]</definedName>
    <definedName name="ListaPlataforma">tblGrupos[Plataforma]</definedName>
    <definedName name="ListaRedes" localSheetId="0">tblVLans[Nome]</definedName>
    <definedName name="ListaRedes">tblRedes[SSID]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family val="2"/>
      <color rgb="FF808893"/>
      <sz val="8"/>
    </font>
    <font>
      <name val="Aptos Narrow"/>
      <family val="2"/>
      <sz val="8"/>
      <scheme val="minor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4"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  <protection locked="0" hidden="0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  <protection locked="0" hidden="0"/>
    </dxf>
    <dxf>
      <alignment horizontal="center" vertical="bottom"/>
      <protection locked="0" hidden="0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VLans" displayName="tblVLans" ref="A1:E8" headerRowCount="1" totalsRowShown="0" headerRowDxfId="22" dataDxfId="21">
  <autoFilter ref="A1:E8"/>
  <tableColumns count="5">
    <tableColumn id="1" name="ID da Rede" dataDxfId="20">
      <calculatedColumnFormula array="1">ROW() - ROW(tblVLans[#Headers])</calculatedColumnFormula>
    </tableColumn>
    <tableColumn id="6" name="Nome" dataDxfId="19"/>
    <tableColumn id="3" name="IP inicial" dataDxfId="18"/>
    <tableColumn id="4" name="IP Final" dataDxfId="17"/>
    <tableColumn id="5" name="Número de Ips" dataDxfId="16">
      <calculatedColumnFormula>IFERROR(VALUE(RIGHT(D2,LEN(D2)-FIND("¶",SUBSTITUTE(D2,".","¶",3))))
      - VALUE(RIGHT(C2,LEN(C2)-FIND("¶",SUBSTITUTE(C2,".","¶",3))))
      + 1,
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des" displayName="tblRedes" ref="A1:E6" headerRowCount="1" totalsRowShown="0" headerRowDxfId="15" dataDxfId="14">
  <autoFilter ref="A1:E5"/>
  <tableColumns count="5">
    <tableColumn id="1" name="ID da Rede" dataDxfId="13">
      <calculatedColumnFormula array="1">ROW() - ROW(tblRedes[#Headers])</calculatedColumnFormula>
    </tableColumn>
    <tableColumn id="6" name="SSID" dataDxfId="12"/>
    <tableColumn id="3" name="IP inicial" dataDxfId="11"/>
    <tableColumn id="4" name="IP Final" dataDxfId="10"/>
    <tableColumn id="5" name="Número de Ips" dataDxfId="9">
      <calculatedColumnFormula>IFERROR(VALUE(RIGHT(D2,LEN(D2)-FIND("¶",SUBSTITUTE(D2,".","¶",3))))
      - VALUE(RIGHT(C2,LEN(C2)-FIND("¶",SUBSTITUTE(C2,".","¶",3))))
      + 1,
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Grupos" displayName="tblGrupos" ref="A1:G17" headerRowCount="1" totalsRowShown="0" headerRowDxfId="8" dataDxfId="7">
  <autoFilter ref="A1:G17"/>
  <tableColumns count="7">
    <tableColumn id="1" name="ID do Grupo" dataDxfId="6">
      <calculatedColumnFormula array="1">ROW() - ROW(tblGrupos[#Headers])</calculatedColumnFormula>
    </tableColumn>
    <tableColumn id="6" name="Plataforma" dataDxfId="5"/>
    <tableColumn id="7" name="Rede" dataDxfId="4"/>
    <tableColumn id="2" name="Vlan" dataDxfId="3"/>
    <tableColumn id="3" name="IP inicial" dataDxfId="2"/>
    <tableColumn id="4" name="IP Final" dataDxfId="1"/>
    <tableColumn id="5" name="Número de Ips" dataDxfId="0">
      <calculatedColumnFormula>IFERROR(VALUE(RIGHT(F2,LEN(F2)-FIND("¶",SUBSTITUTE(F2,".","¶",3))))
      - VALUE(RIGHT(E2,LEN(E2)-FIND("¶",SUBSTITUTE(E2,".","¶",3))))
      + 1,
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lientes" displayName="tblClientes" ref="A1:I98" headerRowCount="1" totalsRowShown="0" headerRowDxfId="33" dataDxfId="32">
  <autoFilter ref="A1:I99"/>
  <tableColumns count="9">
    <tableColumn id="1" name="ID do Cliente" dataDxfId="31">
      <calculatedColumnFormula array="1">ROW() - ROW(tblClientes[#Headers])</calculatedColumnFormula>
    </tableColumn>
    <tableColumn id="10" name="Plataforma" dataDxfId="30"/>
    <tableColumn id="6" name="Ciente" dataDxfId="29"/>
    <tableColumn id="7" name="Rede" dataDxfId="28">
      <calculatedColumnFormula>IF(ISERROR(INDEX(tblGrupos[Rede],MATCH(tblClientes[[#This Row],[Plataforma]],tblGrupos[Plataforma],0))),"",INDEX(tblGrupos[Rede],MATCH(tblClientes[[#This Row],[Plataforma]],tblGrupos[Plataforma],0)))</calculatedColumnFormula>
    </tableColumn>
    <tableColumn id="2" name="Vlan" dataDxfId="27"/>
    <tableColumn id="8" name="IP" dataDxfId="26"/>
    <tableColumn id="11" name="AP Fixo" dataDxfId="25"/>
    <tableColumn id="9" name="Status" dataDxfId="24"/>
    <tableColumn id="12" name="Observação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C4" sqref="C4:D4"/>
    </sheetView>
  </sheetViews>
  <sheetFormatPr baseColWidth="8" defaultRowHeight="14.4"/>
  <cols>
    <col width="18" customWidth="1" style="1" min="1" max="2"/>
    <col width="15.6640625" customWidth="1" style="1" min="3" max="4"/>
    <col width="17.6640625" customWidth="1" style="1" min="5" max="5"/>
  </cols>
  <sheetData>
    <row r="1">
      <c r="A1" s="7" t="inlineStr">
        <is>
          <t>ID da Rede</t>
        </is>
      </c>
      <c r="B1" s="7" t="inlineStr">
        <is>
          <t>Nome</t>
        </is>
      </c>
      <c r="C1" s="7" t="inlineStr">
        <is>
          <t>IP inicial</t>
        </is>
      </c>
      <c r="D1" s="7" t="inlineStr">
        <is>
          <t>IP Final</t>
        </is>
      </c>
      <c r="E1" s="7" t="inlineStr">
        <is>
          <t>Número de Ips</t>
        </is>
      </c>
    </row>
    <row r="2">
      <c r="A2" s="7">
        <f t="array" ref="A2">ROW() - ROW(tblVLans[#Headers])</f>
        <v/>
      </c>
      <c r="B2" s="7" t="inlineStr">
        <is>
          <t>Hangar</t>
        </is>
      </c>
      <c r="C2" s="7" t="inlineStr">
        <is>
          <t>192.168.68.6</t>
        </is>
      </c>
      <c r="D2" s="7" t="inlineStr">
        <is>
          <t>192.168.68.254</t>
        </is>
      </c>
      <c r="E2" s="7">
        <f>IFERROR(VALUE(RIGHT(D2,LEN(D2)-FIND("¶",SUBSTITUTE(D2,".","¶",3))))
      - VALUE(RIGHT(C2,LEN(C2)-FIND("¶",SUBSTITUTE(C2,".","¶",3))))
      + 1,
"")</f>
        <v/>
      </c>
    </row>
    <row r="3">
      <c r="A3" s="7">
        <f t="array" ref="A3">ROW() - ROW(tblVLans[#Headers])</f>
        <v/>
      </c>
      <c r="B3" s="7" t="inlineStr">
        <is>
          <t>IoT</t>
        </is>
      </c>
      <c r="C3" s="7" t="inlineStr">
        <is>
          <t>192.168.2.6</t>
        </is>
      </c>
      <c r="D3" s="7" t="inlineStr">
        <is>
          <t>192.168.2.254</t>
        </is>
      </c>
      <c r="E3" s="7">
        <f>IFERROR(VALUE(RIGHT(D3,LEN(D3)-FIND("¶",SUBSTITUTE(D3,".","¶",3))))
      - VALUE(RIGHT(C3,LEN(C3)-FIND("¶",SUBSTITUTE(C3,".","¶",3))))
      + 1,
"")</f>
        <v/>
      </c>
    </row>
    <row r="4">
      <c r="A4" s="7">
        <f t="array" ref="A4">ROW() - ROW(tblVLans[#Headers])</f>
        <v/>
      </c>
      <c r="B4" s="7" t="inlineStr">
        <is>
          <t>Servidor</t>
        </is>
      </c>
      <c r="C4" s="7" t="inlineStr">
        <is>
          <t>192.168.3.6</t>
        </is>
      </c>
      <c r="D4" s="7" t="inlineStr">
        <is>
          <t>192.168.3.60</t>
        </is>
      </c>
      <c r="E4" s="7">
        <f>IFERROR(VALUE(RIGHT(D4,LEN(D4)-FIND("¶",SUBSTITUTE(D4,".","¶",3))))
      - VALUE(RIGHT(C4,LEN(C4)-FIND("¶",SUBSTITUTE(C4,".","¶",3))))
      + 1,
"")</f>
        <v/>
      </c>
    </row>
    <row r="5">
      <c r="A5" s="7">
        <f t="array" ref="A5">ROW() - ROW(tblVLans[#Headers])</f>
        <v/>
      </c>
      <c r="B5" s="7" t="inlineStr">
        <is>
          <t>Multimidia</t>
        </is>
      </c>
      <c r="C5" s="7" t="inlineStr">
        <is>
          <t>192.168.4.2</t>
        </is>
      </c>
      <c r="D5" s="7" t="inlineStr">
        <is>
          <t>192.168.4.62</t>
        </is>
      </c>
      <c r="E5" s="7">
        <f>IFERROR(VALUE(RIGHT(D5,LEN(D5)-FIND("¶",SUBSTITUTE(D5,".","¶",3))))
      - VALUE(RIGHT(C5,LEN(C5)-FIND("¶",SUBSTITUTE(C5,".","¶",3))))
      + 1,
"")</f>
        <v/>
      </c>
    </row>
    <row r="6">
      <c r="A6" s="7">
        <f t="array" ref="A6">ROW() - ROW(tblVLans[#Headers])</f>
        <v/>
      </c>
      <c r="B6" s="7" t="inlineStr">
        <is>
          <t>CamerasInternas</t>
        </is>
      </c>
      <c r="C6" s="7" t="inlineStr">
        <is>
          <t>192.168.5.2</t>
        </is>
      </c>
      <c r="D6" s="7" t="inlineStr">
        <is>
          <t>192.168.5.30</t>
        </is>
      </c>
      <c r="E6" s="7">
        <f>IFERROR(VALUE(RIGHT(D6,LEN(D6)-FIND("¶",SUBSTITUTE(D6,".","¶",3))))
      - VALUE(RIGHT(C6,LEN(C6)-FIND("¶",SUBSTITUTE(C6,".","¶",3))))
      + 1,
"")</f>
        <v/>
      </c>
    </row>
    <row r="7">
      <c r="A7" s="7">
        <f t="array" ref="A7">ROW() - ROW(tblVLans[#Headers])</f>
        <v/>
      </c>
      <c r="B7" s="7" t="inlineStr">
        <is>
          <t>CamerasExternas</t>
        </is>
      </c>
      <c r="C7" s="7" t="inlineStr">
        <is>
          <t>192.168.6.2</t>
        </is>
      </c>
      <c r="D7" s="7" t="inlineStr">
        <is>
          <t>192.168.6.30</t>
        </is>
      </c>
      <c r="E7" s="7">
        <f>IFERROR(VALUE(RIGHT(D7,LEN(D7)-FIND("¶",SUBSTITUTE(D7,".","¶",3))))
      - VALUE(RIGHT(C7,LEN(C7)-FIND("¶",SUBSTITUTE(C7,".","¶",3))))
      + 1,
"")</f>
        <v/>
      </c>
    </row>
    <row r="8">
      <c r="A8" s="7">
        <f t="array" ref="A8">ROW() - ROW(tblVLans[#Headers])</f>
        <v/>
      </c>
      <c r="B8" s="7" t="inlineStr">
        <is>
          <t>Visitantes</t>
        </is>
      </c>
      <c r="C8" s="7" t="inlineStr">
        <is>
          <t>192.168.10.2</t>
        </is>
      </c>
      <c r="D8" s="7" t="inlineStr">
        <is>
          <t>192.168.10.30</t>
        </is>
      </c>
      <c r="E8" s="7">
        <f>IFERROR(VALUE(RIGHT(D8,LEN(D8)-FIND("¶",SUBSTITUTE(D8,".","¶",3))))
- VALUE(RIGHT(C8,LEN(C8)-FIND("¶",SUBSTITUTE(C8,".","¶",3))))
+ 1,
"")</f>
        <v/>
      </c>
    </row>
    <row r="16">
      <c r="C16" s="2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2" sqref="A2:E5"/>
    </sheetView>
  </sheetViews>
  <sheetFormatPr baseColWidth="8" defaultRowHeight="14.4"/>
  <cols>
    <col width="18" customWidth="1" style="1" min="1" max="2"/>
    <col width="15.6640625" customWidth="1" style="1" min="3" max="4"/>
    <col width="17.6640625" customWidth="1" style="1" min="5" max="5"/>
  </cols>
  <sheetData>
    <row r="1">
      <c r="A1" s="7" t="inlineStr">
        <is>
          <t>ID da Rede</t>
        </is>
      </c>
      <c r="B1" s="7" t="inlineStr">
        <is>
          <t>SSID</t>
        </is>
      </c>
      <c r="C1" s="7" t="inlineStr">
        <is>
          <t>IP inicial</t>
        </is>
      </c>
      <c r="D1" s="7" t="inlineStr">
        <is>
          <t>IP Final</t>
        </is>
      </c>
      <c r="E1" s="7" t="inlineStr">
        <is>
          <t>Número de Ips</t>
        </is>
      </c>
    </row>
    <row r="2">
      <c r="A2" s="7">
        <f t="array" ref="A2">ROW() - ROW(tblRedes[#Headers])</f>
        <v/>
      </c>
      <c r="B2" s="7" t="inlineStr">
        <is>
          <t>Hangar</t>
        </is>
      </c>
      <c r="C2" s="7" t="inlineStr">
        <is>
          <t>192.168.68.6</t>
        </is>
      </c>
      <c r="D2" s="7" t="inlineStr">
        <is>
          <t>192.168.68.254</t>
        </is>
      </c>
      <c r="E2" s="7">
        <f>IFERROR(VALUE(RIGHT(D2,LEN(D2)-FIND("¶",SUBSTITUTE(D2,".","¶",3))))
      - VALUE(RIGHT(C2,LEN(C2)-FIND("¶",SUBSTITUTE(C2,".","¶",3))))
      + 1,
"")</f>
        <v/>
      </c>
    </row>
    <row r="3">
      <c r="A3" s="7">
        <f t="array" ref="A3">ROW() - ROW(tblRedes[#Headers])</f>
        <v/>
      </c>
      <c r="B3" s="7" t="inlineStr">
        <is>
          <t>Hangar_IoT</t>
        </is>
      </c>
      <c r="C3" s="7" t="inlineStr">
        <is>
          <t>192.168.2.6</t>
        </is>
      </c>
      <c r="D3" s="7" t="inlineStr">
        <is>
          <t>192.168.2.254</t>
        </is>
      </c>
      <c r="E3" s="7">
        <f>IFERROR(VALUE(RIGHT(D3,LEN(D3)-FIND("¶",SUBSTITUTE(D3,".","¶",3))))
      - VALUE(RIGHT(C3,LEN(C3)-FIND("¶",SUBSTITUTE(C3,".","¶",3))))
      + 1,
"")</f>
        <v/>
      </c>
    </row>
    <row r="4">
      <c r="A4" s="7">
        <f t="array" ref="A4">ROW() - ROW(tblRedes[#Headers])</f>
        <v/>
      </c>
      <c r="B4" s="7" t="inlineStr">
        <is>
          <t>Hangar Visitante</t>
        </is>
      </c>
      <c r="C4" s="7" t="inlineStr">
        <is>
          <t>192.168.10.2</t>
        </is>
      </c>
      <c r="D4" s="7" t="inlineStr">
        <is>
          <t>192.168.10.30</t>
        </is>
      </c>
      <c r="E4" s="7">
        <f>IFERROR(VALUE(RIGHT(D4,LEN(D4)-FIND("¶",SUBSTITUTE(D4,".","¶",3))))
- VALUE(RIGHT(C4,LEN(C4)-FIND("¶",SUBSTITUTE(C4,".","¶",3))))
+ 1,
"")</f>
        <v/>
      </c>
    </row>
    <row r="5">
      <c r="A5" s="7">
        <f t="array" ref="A5">ROW() - ROW(tblRedes[#Headers])</f>
        <v/>
      </c>
      <c r="B5" s="7" t="inlineStr">
        <is>
          <t>Hangar Multimidia</t>
        </is>
      </c>
      <c r="C5" s="7" t="inlineStr">
        <is>
          <t>192.168.4.2</t>
        </is>
      </c>
      <c r="D5" s="7" t="inlineStr">
        <is>
          <t>192.168.4.30</t>
        </is>
      </c>
      <c r="E5" s="7">
        <f>IFERROR(VALUE(RIGHT(D5,LEN(D5)-FIND("¶",SUBSTITUTE(D5,".","¶",3))))
      - VALUE(RIGHT(C5,LEN(C5)-FIND("¶",SUBSTITUTE(C5,".","¶",3))))
      + 1,
"")</f>
        <v/>
      </c>
    </row>
    <row r="6">
      <c r="A6" s="8">
        <f>ROW() - ROW(tblRedes[#Headers])</f>
        <v/>
      </c>
      <c r="B6" s="8" t="inlineStr">
        <is>
          <t>Aeron</t>
        </is>
      </c>
      <c r="C6" s="8" t="inlineStr">
        <is>
          <t>192.168.68.6</t>
        </is>
      </c>
      <c r="D6" s="8" t="inlineStr">
        <is>
          <t>192.168.68.254</t>
        </is>
      </c>
      <c r="E6" s="8">
        <f>IFERROR(VALUE(RIGHT(D6,LEN(D6)-FIND("¶",SUBSTITUTE(D6,".","¶",3))))
      - VALUE(RIGHT(C6,LEN(C6)-FIND("¶",SUBSTITUTE(C6,".","¶",3))))
      + 1,
"")</f>
        <v/>
      </c>
    </row>
    <row r="13">
      <c r="C13" s="2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E17" sqref="E17:F17"/>
    </sheetView>
  </sheetViews>
  <sheetFormatPr baseColWidth="8" defaultRowHeight="14.4"/>
  <cols>
    <col width="18" customWidth="1" style="1" min="1" max="4"/>
    <col width="15.6640625" customWidth="1" style="1" min="5" max="6"/>
    <col width="17.6640625" customWidth="1" style="1" min="7" max="7"/>
  </cols>
  <sheetData>
    <row r="1">
      <c r="A1" s="7" t="inlineStr">
        <is>
          <t>ID do Grupo</t>
        </is>
      </c>
      <c r="B1" s="7" t="inlineStr">
        <is>
          <t>Plataforma</t>
        </is>
      </c>
      <c r="C1" s="7" t="inlineStr">
        <is>
          <t>Rede</t>
        </is>
      </c>
      <c r="D1" s="7" t="inlineStr">
        <is>
          <t>Vlan</t>
        </is>
      </c>
      <c r="E1" s="7" t="inlineStr">
        <is>
          <t>IP inicial</t>
        </is>
      </c>
      <c r="F1" s="7" t="inlineStr">
        <is>
          <t>IP Final</t>
        </is>
      </c>
      <c r="G1" s="7" t="inlineStr">
        <is>
          <t>Número de Ips</t>
        </is>
      </c>
    </row>
    <row r="2">
      <c r="A2" s="7">
        <f t="array" ref="A2">ROW() - ROW(tblGrupos[#Headers])</f>
        <v/>
      </c>
      <c r="B2" s="7" t="inlineStr">
        <is>
          <t>Sonoff</t>
        </is>
      </c>
      <c r="C2" s="7" t="inlineStr">
        <is>
          <t>Hangar_IoT</t>
        </is>
      </c>
      <c r="D2" s="7" t="inlineStr">
        <is>
          <t>IoT</t>
        </is>
      </c>
      <c r="E2" s="7" t="inlineStr">
        <is>
          <t>192.168.2.10</t>
        </is>
      </c>
      <c r="F2" s="7" t="inlineStr">
        <is>
          <t>192.168.2.49</t>
        </is>
      </c>
      <c r="G2" s="7">
        <f>IFERROR(VALUE(RIGHT(F2,LEN(F2)-FIND("¶",SUBSTITUTE(F2,".","¶",3))))
      - VALUE(RIGHT(E2,LEN(E2)-FIND("¶",SUBSTITUTE(E2,".","¶",3))))
      + 1,
"")</f>
        <v/>
      </c>
    </row>
    <row r="3">
      <c r="A3" s="7">
        <f t="array" ref="A3">ROW() - ROW(tblGrupos[#Headers])</f>
        <v/>
      </c>
      <c r="B3" s="7" t="inlineStr">
        <is>
          <t>Tuya</t>
        </is>
      </c>
      <c r="C3" s="7" t="inlineStr">
        <is>
          <t>Hangar_IoT</t>
        </is>
      </c>
      <c r="D3" s="7" t="inlineStr">
        <is>
          <t>IoT</t>
        </is>
      </c>
      <c r="E3" s="7" t="inlineStr">
        <is>
          <t>192.168.2.50</t>
        </is>
      </c>
      <c r="F3" s="7" t="inlineStr">
        <is>
          <t>192.168.2.89</t>
        </is>
      </c>
      <c r="G3" s="7">
        <f>IFERROR(VALUE(RIGHT(F3,LEN(F3)-FIND("¶",SUBSTITUTE(F3,".","¶",3))))
- VALUE(RIGHT(E3,LEN(E3)-FIND("¶",SUBSTITUTE(E3,".","¶",3))))
+ 1,
"")</f>
        <v/>
      </c>
    </row>
    <row r="4">
      <c r="A4" s="7">
        <f t="array" ref="A4">ROW() - ROW(tblGrupos[#Headers])</f>
        <v/>
      </c>
      <c r="B4" s="7" t="inlineStr">
        <is>
          <t>Tasmota</t>
        </is>
      </c>
      <c r="C4" s="7" t="inlineStr">
        <is>
          <t>Hangar_IoT</t>
        </is>
      </c>
      <c r="D4" s="7" t="inlineStr">
        <is>
          <t>IoT</t>
        </is>
      </c>
      <c r="E4" s="7" t="inlineStr">
        <is>
          <t>192.168.2.90</t>
        </is>
      </c>
      <c r="F4" s="7" t="inlineStr">
        <is>
          <t>192.168.2.129</t>
        </is>
      </c>
      <c r="G4" s="7">
        <f>IFERROR(VALUE(RIGHT(F4,LEN(F4)-FIND("¶",SUBSTITUTE(F4,".","¶",3))))
- VALUE(RIGHT(E4,LEN(E4)-FIND("¶",SUBSTITUTE(E4,".","¶",3))))
+ 1,
"")</f>
        <v/>
      </c>
    </row>
    <row r="5">
      <c r="A5" s="7">
        <f t="array" ref="A5">ROW() - ROW(tblGrupos[#Headers])</f>
        <v/>
      </c>
      <c r="B5" s="7" t="inlineStr">
        <is>
          <t>ESPHome</t>
        </is>
      </c>
      <c r="C5" s="7" t="inlineStr">
        <is>
          <t>Hangar_IoT</t>
        </is>
      </c>
      <c r="D5" s="7" t="inlineStr">
        <is>
          <t>IoT</t>
        </is>
      </c>
      <c r="E5" s="7" t="inlineStr">
        <is>
          <t>192.168.2.130</t>
        </is>
      </c>
      <c r="F5" s="7" t="inlineStr">
        <is>
          <t>192.168.2.169</t>
        </is>
      </c>
      <c r="G5" s="7">
        <f>IFERROR(VALUE(RIGHT(F5,LEN(F5)-FIND("¶",SUBSTITUTE(F5,".","¶",3))))
- VALUE(RIGHT(E5,LEN(E5)-FIND("¶",SUBSTITUTE(E5,".","¶",3))))
+ 1,
"")</f>
        <v/>
      </c>
    </row>
    <row r="6">
      <c r="A6" s="7">
        <f t="array" ref="A6">ROW() - ROW(tblGrupos[#Headers])</f>
        <v/>
      </c>
      <c r="B6" s="7" t="inlineStr">
        <is>
          <t>SmartThings</t>
        </is>
      </c>
      <c r="C6" s="7" t="inlineStr">
        <is>
          <t>Hangar_IoT</t>
        </is>
      </c>
      <c r="D6" s="7" t="inlineStr">
        <is>
          <t>IoT</t>
        </is>
      </c>
      <c r="E6" s="7" t="inlineStr">
        <is>
          <t>192.168.2.170</t>
        </is>
      </c>
      <c r="F6" s="7" t="inlineStr">
        <is>
          <t>192.168.2.199</t>
        </is>
      </c>
      <c r="G6" s="7">
        <f>IFERROR(VALUE(RIGHT(F6,LEN(F6)-FIND("¶",SUBSTITUTE(F6,".","¶",3))))
- VALUE(RIGHT(E6,LEN(E6)-FIND("¶",SUBSTITUTE(E6,".","¶",3))))
+ 1,
"")</f>
        <v/>
      </c>
    </row>
    <row r="7">
      <c r="A7" s="7">
        <f t="array" ref="A7">ROW() - ROW(tblGrupos[#Headers])</f>
        <v/>
      </c>
      <c r="B7" s="7" t="inlineStr">
        <is>
          <t>BroadLink</t>
        </is>
      </c>
      <c r="C7" s="7" t="inlineStr">
        <is>
          <t>Hangar_IoT</t>
        </is>
      </c>
      <c r="D7" s="7" t="inlineStr">
        <is>
          <t>IoT</t>
        </is>
      </c>
      <c r="E7" s="7" t="inlineStr">
        <is>
          <t>192.168.2.200</t>
        </is>
      </c>
      <c r="F7" s="7" t="inlineStr">
        <is>
          <t>192.168.2.209</t>
        </is>
      </c>
      <c r="G7" s="7">
        <f>IFERROR(VALUE(RIGHT(F7,LEN(F7)-FIND("¶",SUBSTITUTE(F7,".","¶",3))))
      - VALUE(RIGHT(E7,LEN(E7)-FIND("¶",SUBSTITUTE(E7,".","¶",3))))
      + 1,
"")</f>
        <v/>
      </c>
    </row>
    <row r="8">
      <c r="A8" s="7">
        <f t="array" ref="A8">ROW() - ROW(tblGrupos[#Headers])</f>
        <v/>
      </c>
      <c r="B8" s="7" t="inlineStr">
        <is>
          <t>Wled</t>
        </is>
      </c>
      <c r="C8" s="7" t="inlineStr">
        <is>
          <t>Hangar_IoT</t>
        </is>
      </c>
      <c r="D8" s="7" t="inlineStr">
        <is>
          <t>IoT</t>
        </is>
      </c>
      <c r="E8" s="7" t="inlineStr">
        <is>
          <t>192.168.2.210</t>
        </is>
      </c>
      <c r="F8" s="7" t="inlineStr">
        <is>
          <t>192.168.2.229</t>
        </is>
      </c>
      <c r="G8" s="7">
        <f>IFERROR(VALUE(RIGHT(F8,LEN(F8)-FIND("¶",SUBSTITUTE(F8,".","¶",3))))
- VALUE(RIGHT(E8,LEN(E8)-FIND("¶",SUBSTITUTE(E8,".","¶",3))))
+ 1,
"")</f>
        <v/>
      </c>
    </row>
    <row r="9">
      <c r="A9" s="7">
        <f t="array" ref="A9">ROW() - ROW(tblGrupos[#Headers])</f>
        <v/>
      </c>
      <c r="B9" s="7" t="inlineStr">
        <is>
          <t>Outros</t>
        </is>
      </c>
      <c r="C9" s="7" t="inlineStr">
        <is>
          <t>Hangar_IoT</t>
        </is>
      </c>
      <c r="D9" s="7" t="inlineStr">
        <is>
          <t>IoT</t>
        </is>
      </c>
      <c r="E9" s="7" t="inlineStr">
        <is>
          <t>192.168.2.230</t>
        </is>
      </c>
      <c r="F9" s="7" t="inlineStr">
        <is>
          <t>192.168.2.250</t>
        </is>
      </c>
      <c r="G9" s="7">
        <f>IFERROR(VALUE(RIGHT(F9,LEN(F9)-FIND("¶",SUBSTITUTE(F9,".","¶",3))))
      - VALUE(RIGHT(E9,LEN(E9)-FIND("¶",SUBSTITUTE(E9,".","¶",3))))
      + 1,
"")</f>
        <v/>
      </c>
    </row>
    <row r="10">
      <c r="A10" s="7">
        <f t="array" ref="A10">ROW() - ROW(tblGrupos[#Headers])</f>
        <v/>
      </c>
      <c r="B10" s="7" t="inlineStr">
        <is>
          <t>Alexa - Echo</t>
        </is>
      </c>
      <c r="C10" s="7" t="inlineStr">
        <is>
          <t>Hangar Multimidia</t>
        </is>
      </c>
      <c r="D10" s="7" t="inlineStr">
        <is>
          <t>Multimidia</t>
        </is>
      </c>
      <c r="E10" s="7" t="inlineStr">
        <is>
          <t>192.168.4.10</t>
        </is>
      </c>
      <c r="F10" s="7" t="inlineStr">
        <is>
          <t>192.168.4.29</t>
        </is>
      </c>
      <c r="G10" s="7">
        <f>IFERROR(VALUE(RIGHT(F10,LEN(F10)-FIND("¶",SUBSTITUTE(F10,".","¶",3))))
- VALUE(RIGHT(E10,LEN(E10)-FIND("¶",SUBSTITUTE(E10,".","¶",3))))
+ 1,
"")</f>
        <v/>
      </c>
    </row>
    <row r="11">
      <c r="A11" s="7">
        <f t="array" ref="A11">ROW() - ROW(tblGrupos[#Headers])</f>
        <v/>
      </c>
      <c r="B11" s="7" t="inlineStr">
        <is>
          <t>Alexa - Fire TV</t>
        </is>
      </c>
      <c r="C11" s="7" t="inlineStr">
        <is>
          <t>Hangar Multimidia</t>
        </is>
      </c>
      <c r="D11" s="7" t="inlineStr">
        <is>
          <t>Multimidia</t>
        </is>
      </c>
      <c r="E11" s="7" t="inlineStr">
        <is>
          <t>192.168.4.30</t>
        </is>
      </c>
      <c r="F11" s="7" t="inlineStr">
        <is>
          <t>192.168.4.39</t>
        </is>
      </c>
      <c r="G11" s="7">
        <f>IFERROR(VALUE(RIGHT(F11,LEN(F11)-FIND("¶",SUBSTITUTE(F11,".","¶",3))))
- VALUE(RIGHT(E11,LEN(E11)-FIND("¶",SUBSTITUTE(E11,".","¶",3))))
+ 1,
"")</f>
        <v/>
      </c>
    </row>
    <row r="12">
      <c r="A12" s="7">
        <f t="array" ref="A12">ROW() - ROW(tblGrupos[#Headers])</f>
        <v/>
      </c>
      <c r="B12" s="7" t="inlineStr">
        <is>
          <t>Multimídia</t>
        </is>
      </c>
      <c r="C12" s="7" t="inlineStr">
        <is>
          <t>Hangar Multimidia</t>
        </is>
      </c>
      <c r="D12" s="7" t="inlineStr">
        <is>
          <t>Multimidia</t>
        </is>
      </c>
      <c r="E12" s="7" t="inlineStr">
        <is>
          <t>192.168.4.40</t>
        </is>
      </c>
      <c r="F12" s="7" t="inlineStr">
        <is>
          <t>192.168.4.59</t>
        </is>
      </c>
      <c r="G12" s="7">
        <f>IFERROR(VALUE(RIGHT(F12,LEN(F12)-FIND("¶",SUBSTITUTE(F12,".","¶",3))))
- VALUE(RIGHT(E12,LEN(E12)-FIND("¶",SUBSTITUTE(E12,".","¶",3))))
+ 1,
"")</f>
        <v/>
      </c>
    </row>
    <row r="13">
      <c r="A13" s="7">
        <f t="array" ref="A13">ROW() - ROW(tblGrupos[#Headers])</f>
        <v/>
      </c>
      <c r="B13" s="7" t="inlineStr">
        <is>
          <t>Câmeras Internas</t>
        </is>
      </c>
      <c r="C13" s="7" t="inlineStr">
        <is>
          <t>Hangar</t>
        </is>
      </c>
      <c r="D13" s="7" t="inlineStr">
        <is>
          <t>CamerasInternas</t>
        </is>
      </c>
      <c r="E13" s="7" t="inlineStr">
        <is>
          <t>192.168.5.2</t>
        </is>
      </c>
      <c r="F13" s="7" t="inlineStr">
        <is>
          <t>192.168.5.30</t>
        </is>
      </c>
      <c r="G13" s="7">
        <f>IFERROR(VALUE(RIGHT(F13,LEN(F13)-FIND("¶",SUBSTITUTE(F13,".","¶",3))))
      - VALUE(RIGHT(E13,LEN(E13)-FIND("¶",SUBSTITUTE(E13,".","¶",3))))
      + 1,
"")</f>
        <v/>
      </c>
    </row>
    <row r="14">
      <c r="A14" s="7">
        <f t="array" ref="A14">ROW() - ROW(tblGrupos[#Headers])</f>
        <v/>
      </c>
      <c r="B14" s="7" t="inlineStr">
        <is>
          <t>Câmeras Externas</t>
        </is>
      </c>
      <c r="C14" s="7" t="inlineStr">
        <is>
          <t>Hangar</t>
        </is>
      </c>
      <c r="D14" s="7" t="inlineStr">
        <is>
          <t>CamerasExternas</t>
        </is>
      </c>
      <c r="E14" s="7" t="inlineStr">
        <is>
          <t>192.168.6.2</t>
        </is>
      </c>
      <c r="F14" s="7" t="inlineStr">
        <is>
          <t>192.168.6.30</t>
        </is>
      </c>
      <c r="G14" s="7">
        <f>IFERROR(VALUE(RIGHT(F14,LEN(F14)-FIND("¶",SUBSTITUTE(F14,".","¶",3))))
      - VALUE(RIGHT(E14,LEN(E14)-FIND("¶",SUBSTITUTE(E14,".","¶",3))))
      + 1,
"")</f>
        <v/>
      </c>
    </row>
    <row r="15">
      <c r="A15" s="7">
        <f t="array" ref="A15">ROW() - ROW(tblGrupos[#Headers])</f>
        <v/>
      </c>
      <c r="B15" s="7" t="inlineStr">
        <is>
          <t>Celulares</t>
        </is>
      </c>
      <c r="C15" s="7" t="inlineStr">
        <is>
          <t>Hangar</t>
        </is>
      </c>
      <c r="D15" s="7" t="inlineStr">
        <is>
          <t>Hangar</t>
        </is>
      </c>
      <c r="E15" s="7" t="inlineStr">
        <is>
          <t>192.168.68.160</t>
        </is>
      </c>
      <c r="F15" s="7" t="inlineStr">
        <is>
          <t>192.168.68.179</t>
        </is>
      </c>
      <c r="G15" s="7">
        <f>IFERROR(VALUE(RIGHT(F15,LEN(F15)-FIND("¶",SUBSTITUTE(F15,".","¶",3))))
- VALUE(RIGHT(E15,LEN(E15)-FIND("¶",SUBSTITUTE(E15,".","¶",3))))
+ 1,
"")</f>
        <v/>
      </c>
    </row>
    <row r="16">
      <c r="A16" s="7">
        <f t="array" ref="A16">ROW() - ROW(tblGrupos[#Headers])</f>
        <v/>
      </c>
      <c r="B16" s="7" t="inlineStr">
        <is>
          <t>Computadores</t>
        </is>
      </c>
      <c r="C16" s="7" t="inlineStr">
        <is>
          <t>Hangar</t>
        </is>
      </c>
      <c r="D16" s="7" t="inlineStr">
        <is>
          <t>Hangar</t>
        </is>
      </c>
      <c r="E16" s="7" t="inlineStr">
        <is>
          <t>192.168.68.180</t>
        </is>
      </c>
      <c r="F16" s="7" t="inlineStr">
        <is>
          <t>192.168.68.199</t>
        </is>
      </c>
      <c r="G16" s="7">
        <f>IFERROR(VALUE(RIGHT(F16,LEN(F16)-FIND("¶",SUBSTITUTE(F16,".","¶",3))))
      - VALUE(RIGHT(E16,LEN(E16)-FIND("¶",SUBSTITUTE(E16,".","¶",3))))
      + 1,
"")</f>
        <v/>
      </c>
    </row>
    <row r="17">
      <c r="A17" s="7">
        <f t="array" ref="A17">ROW() - ROW(tblGrupos[#Headers])</f>
        <v/>
      </c>
      <c r="B17" s="7" t="inlineStr">
        <is>
          <t>Servidor</t>
        </is>
      </c>
      <c r="C17" s="7" t="inlineStr">
        <is>
          <t>Hangar</t>
        </is>
      </c>
      <c r="D17" s="7" t="inlineStr">
        <is>
          <t>Servidor</t>
        </is>
      </c>
      <c r="E17" s="7" t="inlineStr">
        <is>
          <t>192.168.3.6</t>
        </is>
      </c>
      <c r="F17" s="7" t="inlineStr">
        <is>
          <t>192.168.3.60</t>
        </is>
      </c>
      <c r="G17" s="7">
        <f>IFERROR(VALUE(RIGHT(F17,LEN(F17)-FIND("¶",SUBSTITUTE(F17,".","¶",3))))
      - VALUE(RIGHT(E17,LEN(E17)-FIND("¶",SUBSTITUTE(E17,".","¶",3))))
      + 1,
"")</f>
        <v/>
      </c>
    </row>
    <row r="18">
      <c r="G18" s="7">
        <f>IFERROR(VALUE(RIGHT(F18,LEN(F18)-FIND("¶",SUBSTITUTE(F18,".","¶",3))))
- VALUE(RIGHT(E18,LEN(E18)-FIND("¶",SUBSTITUTE(E18,".","¶",3))))
+ 1,
"")</f>
        <v/>
      </c>
    </row>
  </sheetData>
  <dataValidations count="1">
    <dataValidation sqref="C2:C17" showErrorMessage="1" showInputMessage="1" allowBlank="1" type="list">
      <formula1>ListaRedes</formula1>
    </dataValidation>
  </dataValidation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0" tabSelected="1" topLeftCell="B56" workbookViewId="0">
      <selection activeCell="B77" sqref="A77:XFD77"/>
    </sheetView>
  </sheetViews>
  <sheetFormatPr baseColWidth="8" defaultRowHeight="14.4"/>
  <cols>
    <col width="20.44140625" customWidth="1" style="1" min="1" max="1"/>
    <col width="20.44140625" customWidth="1" style="3" min="2" max="2"/>
    <col width="30.5546875" customWidth="1" style="3" min="3" max="3"/>
    <col width="18" customWidth="1" style="1" min="4" max="6"/>
    <col width="15" customWidth="1" style="1" min="7" max="7"/>
    <col width="18" customWidth="1" style="3" min="8" max="8"/>
    <col width="21.5546875" customWidth="1" min="9" max="9"/>
  </cols>
  <sheetData>
    <row r="1">
      <c r="A1" s="7" t="inlineStr">
        <is>
          <t>ID do Cliente</t>
        </is>
      </c>
      <c r="B1" s="9" t="inlineStr">
        <is>
          <t>Plataforma</t>
        </is>
      </c>
      <c r="C1" s="9" t="inlineStr">
        <is>
          <t>Ciente</t>
        </is>
      </c>
      <c r="D1" s="7" t="inlineStr">
        <is>
          <t>Rede</t>
        </is>
      </c>
      <c r="E1" s="7" t="inlineStr">
        <is>
          <t>Vlan</t>
        </is>
      </c>
      <c r="F1" s="7" t="inlineStr">
        <is>
          <t>IP</t>
        </is>
      </c>
      <c r="G1" s="7" t="inlineStr">
        <is>
          <t>AP Fixo</t>
        </is>
      </c>
      <c r="H1" s="9" t="inlineStr">
        <is>
          <t>Status</t>
        </is>
      </c>
      <c r="I1" s="7" t="inlineStr">
        <is>
          <t>Observação</t>
        </is>
      </c>
    </row>
    <row r="2">
      <c r="A2" s="7" t="n">
        <v>1</v>
      </c>
      <c r="B2" s="9" t="inlineStr">
        <is>
          <t>Servidor</t>
        </is>
      </c>
      <c r="C2" s="9" t="inlineStr">
        <is>
          <t>Proxmox</t>
        </is>
      </c>
      <c r="D2" s="7">
        <f>IF(ISERROR(INDEX(tblGrupos[Rede],MATCH(tblClientes[[#This Row],[Plataforma]],tblGrupos[Plataforma],0))),"",INDEX(tblGrupos[Rede],MATCH(tblClientes[[#This Row],[Plataforma]],tblGrupos[Plataforma],0)))</f>
        <v/>
      </c>
      <c r="E2" s="7" t="inlineStr">
        <is>
          <t>Servidor</t>
        </is>
      </c>
      <c r="F2" s="7" t="inlineStr">
        <is>
          <t>192.168.3.20</t>
        </is>
      </c>
      <c r="G2" s="7" t="inlineStr">
        <is>
          <t>Não se Aplica</t>
        </is>
      </c>
      <c r="H2" s="9" t="inlineStr">
        <is>
          <t>Finalizado</t>
        </is>
      </c>
      <c r="I2" s="1" t="n"/>
    </row>
    <row r="3">
      <c r="A3" s="7" t="n">
        <v>2</v>
      </c>
      <c r="B3" s="9" t="inlineStr">
        <is>
          <t>Servidor</t>
        </is>
      </c>
      <c r="C3" s="9" t="inlineStr">
        <is>
          <t>Docker</t>
        </is>
      </c>
      <c r="D3" s="7">
        <f>IF(ISERROR(INDEX(tblGrupos[Rede],MATCH(tblClientes[[#This Row],[Plataforma]],tblGrupos[Plataforma],0))),"",INDEX(tblGrupos[Rede],MATCH(tblClientes[[#This Row],[Plataforma]],tblGrupos[Plataforma],0)))</f>
        <v/>
      </c>
      <c r="E3" s="7" t="inlineStr">
        <is>
          <t>Servidor</t>
        </is>
      </c>
      <c r="F3" s="7" t="inlineStr">
        <is>
          <t>192.168.3.21</t>
        </is>
      </c>
      <c r="G3" s="7" t="inlineStr">
        <is>
          <t>Não se Aplica</t>
        </is>
      </c>
      <c r="H3" s="9" t="inlineStr">
        <is>
          <t>Finalizado</t>
        </is>
      </c>
      <c r="I3" s="1" t="n"/>
    </row>
    <row r="4">
      <c r="A4" s="7" t="n">
        <v>4</v>
      </c>
      <c r="B4" s="9" t="inlineStr">
        <is>
          <t>Servidor</t>
        </is>
      </c>
      <c r="C4" s="9" t="inlineStr">
        <is>
          <t>EspHome</t>
        </is>
      </c>
      <c r="D4" s="7">
        <f>IF(ISERROR(INDEX(tblGrupos[Rede],MATCH(tblClientes[[#This Row],[Plataforma]],tblGrupos[Plataforma],0))),"",INDEX(tblGrupos[Rede],MATCH(tblClientes[[#This Row],[Plataforma]],tblGrupos[Plataforma],0)))</f>
        <v/>
      </c>
      <c r="E4" s="7" t="inlineStr">
        <is>
          <t>Servidor</t>
        </is>
      </c>
      <c r="F4" s="7" t="inlineStr">
        <is>
          <t>192.168.3.23</t>
        </is>
      </c>
      <c r="G4" s="7" t="inlineStr">
        <is>
          <t>Não se Aplica</t>
        </is>
      </c>
      <c r="H4" s="9" t="inlineStr">
        <is>
          <t>Finalizado</t>
        </is>
      </c>
      <c r="I4" s="1" t="n"/>
    </row>
    <row r="5">
      <c r="A5" s="7" t="n">
        <v>5</v>
      </c>
      <c r="B5" s="9" t="inlineStr">
        <is>
          <t>Servidor</t>
        </is>
      </c>
      <c r="C5" s="9" t="inlineStr">
        <is>
          <t>HomeAssistant 2026</t>
        </is>
      </c>
      <c r="D5" s="7">
        <f>IF(ISERROR(INDEX(tblGrupos[Rede],MATCH(tblClientes[[#This Row],[Plataforma]],tblGrupos[Plataforma],0))),"",INDEX(tblGrupos[Rede],MATCH(tblClientes[[#This Row],[Plataforma]],tblGrupos[Plataforma],0)))</f>
        <v/>
      </c>
      <c r="E5" s="7" t="inlineStr">
        <is>
          <t>Servidor</t>
        </is>
      </c>
      <c r="F5" s="7" t="inlineStr">
        <is>
          <t>192.168.3.10</t>
        </is>
      </c>
      <c r="G5" s="7" t="inlineStr">
        <is>
          <t>Não se Aplica</t>
        </is>
      </c>
      <c r="H5" s="9" t="inlineStr">
        <is>
          <t>Finalizado</t>
        </is>
      </c>
      <c r="I5" s="1" t="n"/>
    </row>
    <row r="6">
      <c r="A6" s="7" t="n">
        <v>6</v>
      </c>
      <c r="B6" s="9" t="inlineStr">
        <is>
          <t>Alexa - Echo</t>
        </is>
      </c>
      <c r="C6" s="9" t="inlineStr">
        <is>
          <t>Echo Dot Suíte</t>
        </is>
      </c>
      <c r="D6" s="7">
        <f>IF(ISERROR(INDEX(tblGrupos[Rede],MATCH(tblClientes[[#This Row],[Plataforma]],tblGrupos[Plataforma],0))),"",INDEX(tblGrupos[Rede],MATCH(tblClientes[[#This Row],[Plataforma]],tblGrupos[Plataforma],0)))</f>
        <v/>
      </c>
      <c r="E6" s="7" t="inlineStr">
        <is>
          <t>Multimidia</t>
        </is>
      </c>
      <c r="F6" s="7" t="inlineStr">
        <is>
          <t>192.168.4.11</t>
        </is>
      </c>
      <c r="G6" s="7" t="inlineStr">
        <is>
          <t>Sim</t>
        </is>
      </c>
      <c r="H6" s="9" t="inlineStr">
        <is>
          <t>Finalizado</t>
        </is>
      </c>
      <c r="I6" s="1" t="n"/>
    </row>
    <row r="7">
      <c r="A7" s="7" t="n">
        <v>7</v>
      </c>
      <c r="B7" s="9" t="inlineStr">
        <is>
          <t>Alexa - Echo</t>
        </is>
      </c>
      <c r="C7" s="9" t="inlineStr">
        <is>
          <t>Echo Dot Banheiro Suíte</t>
        </is>
      </c>
      <c r="D7" s="7">
        <f>IF(ISERROR(INDEX(tblGrupos[Rede],MATCH(tblClientes[[#This Row],[Plataforma]],tblGrupos[Plataforma],0))),"",INDEX(tblGrupos[Rede],MATCH(tblClientes[[#This Row],[Plataforma]],tblGrupos[Plataforma],0)))</f>
        <v/>
      </c>
      <c r="E7" s="7" t="inlineStr">
        <is>
          <t>Multimidia</t>
        </is>
      </c>
      <c r="F7" s="7" t="inlineStr">
        <is>
          <t>192.168.4.10</t>
        </is>
      </c>
      <c r="G7" s="7" t="inlineStr">
        <is>
          <t>Sim</t>
        </is>
      </c>
      <c r="H7" s="9" t="inlineStr">
        <is>
          <t>Finalizado</t>
        </is>
      </c>
      <c r="I7" s="1" t="n"/>
    </row>
    <row r="8">
      <c r="A8" s="7" t="n">
        <v>8</v>
      </c>
      <c r="B8" s="9" t="inlineStr">
        <is>
          <t>Alexa - Echo</t>
        </is>
      </c>
      <c r="C8" s="9" t="inlineStr">
        <is>
          <t>Echo Dot Cecília</t>
        </is>
      </c>
      <c r="D8" s="7">
        <f>IF(ISERROR(INDEX(tblGrupos[Rede],MATCH(tblClientes[[#This Row],[Plataforma]],tblGrupos[Plataforma],0))),"",INDEX(tblGrupos[Rede],MATCH(tblClientes[[#This Row],[Plataforma]],tblGrupos[Plataforma],0)))</f>
        <v/>
      </c>
      <c r="E8" s="7" t="inlineStr">
        <is>
          <t>Multimidia</t>
        </is>
      </c>
      <c r="F8" s="7" t="inlineStr">
        <is>
          <t>192.168.4.12</t>
        </is>
      </c>
      <c r="G8" s="7" t="inlineStr">
        <is>
          <t>Sim</t>
        </is>
      </c>
      <c r="H8" s="9" t="inlineStr">
        <is>
          <t>Finalizado</t>
        </is>
      </c>
      <c r="I8" s="1" t="n"/>
    </row>
    <row r="9">
      <c r="A9" s="7" t="n">
        <v>9</v>
      </c>
      <c r="B9" s="9" t="inlineStr">
        <is>
          <t>Alexa - Echo</t>
        </is>
      </c>
      <c r="C9" s="9" t="inlineStr">
        <is>
          <t>Echo Dot Brinquedoteca</t>
        </is>
      </c>
      <c r="D9" s="7">
        <f>IF(ISERROR(INDEX(tblGrupos[Rede],MATCH(tblClientes[[#This Row],[Plataforma]],tblGrupos[Plataforma],0))),"",INDEX(tblGrupos[Rede],MATCH(tblClientes[[#This Row],[Plataforma]],tblGrupos[Plataforma],0)))</f>
        <v/>
      </c>
      <c r="E9" s="7" t="inlineStr">
        <is>
          <t>Multimidia</t>
        </is>
      </c>
      <c r="F9" s="7" t="inlineStr">
        <is>
          <t>192.168.4.13</t>
        </is>
      </c>
      <c r="G9" s="7" t="inlineStr">
        <is>
          <t>Sim</t>
        </is>
      </c>
      <c r="H9" s="9" t="inlineStr">
        <is>
          <t>Finalizado</t>
        </is>
      </c>
      <c r="I9" s="1" t="n"/>
    </row>
    <row r="10">
      <c r="A10" s="7" t="n">
        <v>10</v>
      </c>
      <c r="B10" s="9" t="inlineStr">
        <is>
          <t>Alexa - Echo</t>
        </is>
      </c>
      <c r="C10" s="9" t="inlineStr">
        <is>
          <t>Echo Dot Cozinha</t>
        </is>
      </c>
      <c r="D10" s="7">
        <f>IF(ISERROR(INDEX(tblGrupos[Rede],MATCH(tblClientes[[#This Row],[Plataforma]],tblGrupos[Plataforma],0))),"",INDEX(tblGrupos[Rede],MATCH(tblClientes[[#This Row],[Plataforma]],tblGrupos[Plataforma],0)))</f>
        <v/>
      </c>
      <c r="E10" s="7" t="inlineStr">
        <is>
          <t>Multimidia</t>
        </is>
      </c>
      <c r="F10" s="7" t="inlineStr">
        <is>
          <t>192.168.4.14</t>
        </is>
      </c>
      <c r="G10" s="7" t="inlineStr">
        <is>
          <t>Sim</t>
        </is>
      </c>
      <c r="H10" s="9" t="inlineStr">
        <is>
          <t>Finalizado</t>
        </is>
      </c>
      <c r="I10" s="1" t="n"/>
    </row>
    <row r="11">
      <c r="A11" s="7" t="n">
        <v>11</v>
      </c>
      <c r="B11" s="9" t="inlineStr">
        <is>
          <t>Alexa - Echo</t>
        </is>
      </c>
      <c r="C11" s="9" t="inlineStr">
        <is>
          <t>Echo Dot Banheiro Social</t>
        </is>
      </c>
      <c r="D11" s="7">
        <f>IF(ISERROR(INDEX(tblGrupos[Rede],MATCH(tblClientes[[#This Row],[Plataforma]],tblGrupos[Plataforma],0))),"",INDEX(tblGrupos[Rede],MATCH(tblClientes[[#This Row],[Plataforma]],tblGrupos[Plataforma],0)))</f>
        <v/>
      </c>
      <c r="E11" s="7" t="inlineStr">
        <is>
          <t>Multimidia</t>
        </is>
      </c>
      <c r="F11" s="7" t="inlineStr">
        <is>
          <t>192.168.4.15</t>
        </is>
      </c>
      <c r="G11" s="7" t="inlineStr">
        <is>
          <t>Sim</t>
        </is>
      </c>
      <c r="H11" s="9" t="inlineStr">
        <is>
          <t>Finalizado</t>
        </is>
      </c>
      <c r="I11" s="1" t="n"/>
    </row>
    <row r="12">
      <c r="A12" s="7" t="n">
        <v>12</v>
      </c>
      <c r="B12" s="9" t="inlineStr">
        <is>
          <t>Alexa - Echo</t>
        </is>
      </c>
      <c r="C12" s="9" t="inlineStr">
        <is>
          <t>Echo Dot Sala de TV</t>
        </is>
      </c>
      <c r="D12" s="7">
        <f>IF(ISERROR(INDEX(tblGrupos[Rede],MATCH(tblClientes[[#This Row],[Plataforma]],tblGrupos[Plataforma],0))),"",INDEX(tblGrupos[Rede],MATCH(tblClientes[[#This Row],[Plataforma]],tblGrupos[Plataforma],0)))</f>
        <v/>
      </c>
      <c r="E12" s="7" t="inlineStr">
        <is>
          <t>Multimidia</t>
        </is>
      </c>
      <c r="F12" s="7" t="inlineStr">
        <is>
          <t>192.168.4.16</t>
        </is>
      </c>
      <c r="G12" s="7" t="inlineStr">
        <is>
          <t>Sim</t>
        </is>
      </c>
      <c r="H12" s="9" t="inlineStr">
        <is>
          <t>Finalizado</t>
        </is>
      </c>
      <c r="I12" s="1" t="n"/>
    </row>
    <row r="13">
      <c r="A13" s="7" t="n">
        <v>13</v>
      </c>
      <c r="B13" s="9" t="inlineStr">
        <is>
          <t>Alexa - Echo</t>
        </is>
      </c>
      <c r="C13" s="9" t="inlineStr">
        <is>
          <t>Echo Dot Escritório</t>
        </is>
      </c>
      <c r="D13" s="7">
        <f>IF(ISERROR(INDEX(tblGrupos[Rede],MATCH(tblClientes[[#This Row],[Plataforma]],tblGrupos[Plataforma],0))),"",INDEX(tblGrupos[Rede],MATCH(tblClientes[[#This Row],[Plataforma]],tblGrupos[Plataforma],0)))</f>
        <v/>
      </c>
      <c r="E13" s="7" t="inlineStr">
        <is>
          <t>Multimidia</t>
        </is>
      </c>
      <c r="F13" s="7" t="inlineStr">
        <is>
          <t>192.168.4.17</t>
        </is>
      </c>
      <c r="G13" s="7" t="inlineStr">
        <is>
          <t>Sim</t>
        </is>
      </c>
      <c r="H13" s="9" t="inlineStr">
        <is>
          <t>Finalizado</t>
        </is>
      </c>
      <c r="I13" s="1" t="n"/>
    </row>
    <row r="14">
      <c r="A14" s="7" t="n">
        <v>14</v>
      </c>
      <c r="B14" s="9" t="inlineStr">
        <is>
          <t>Alexa - Echo</t>
        </is>
      </c>
      <c r="C14" s="9" t="inlineStr">
        <is>
          <t>Echo Dot Oficina</t>
        </is>
      </c>
      <c r="D14" s="7">
        <f>IF(ISERROR(INDEX(tblGrupos[Rede],MATCH(tblClientes[[#This Row],[Plataforma]],tblGrupos[Plataforma],0))),"",INDEX(tblGrupos[Rede],MATCH(tblClientes[[#This Row],[Plataforma]],tblGrupos[Plataforma],0)))</f>
        <v/>
      </c>
      <c r="E14" s="7" t="inlineStr">
        <is>
          <t>Multimidia</t>
        </is>
      </c>
      <c r="F14" s="7" t="inlineStr">
        <is>
          <t>192.168.4.18</t>
        </is>
      </c>
      <c r="G14" s="7" t="inlineStr">
        <is>
          <t>Sim</t>
        </is>
      </c>
      <c r="H14" s="9" t="inlineStr">
        <is>
          <t>Finalizado</t>
        </is>
      </c>
      <c r="I14" s="1" t="n"/>
    </row>
    <row r="15">
      <c r="A15" s="7" t="n">
        <v>15</v>
      </c>
      <c r="B15" s="9" t="inlineStr">
        <is>
          <t>Alexa - Fire TV</t>
        </is>
      </c>
      <c r="C15" s="9" t="inlineStr">
        <is>
          <t>Fire Stick Suíte</t>
        </is>
      </c>
      <c r="D15" s="7">
        <f>IF(ISERROR(INDEX(tblGrupos[Rede],MATCH(tblClientes[[#This Row],[Plataforma]],tblGrupos[Plataforma],0))),"",INDEX(tblGrupos[Rede],MATCH(tblClientes[[#This Row],[Plataforma]],tblGrupos[Plataforma],0)))</f>
        <v/>
      </c>
      <c r="E15" s="7" t="inlineStr">
        <is>
          <t>Multimidia</t>
        </is>
      </c>
      <c r="F15" s="7" t="inlineStr">
        <is>
          <t>192.168.4.30</t>
        </is>
      </c>
      <c r="G15" s="7" t="inlineStr">
        <is>
          <t>Sim</t>
        </is>
      </c>
      <c r="H15" s="9" t="inlineStr">
        <is>
          <t>Finalizado</t>
        </is>
      </c>
      <c r="I15" s="7" t="n"/>
    </row>
    <row r="16">
      <c r="A16" s="7" t="n">
        <v>16</v>
      </c>
      <c r="B16" s="9" t="inlineStr">
        <is>
          <t>Alexa - Fire TV</t>
        </is>
      </c>
      <c r="C16" s="9" t="inlineStr">
        <is>
          <t>Fire Stick Sala de TV</t>
        </is>
      </c>
      <c r="D16" s="7">
        <f>IF(ISERROR(INDEX(tblGrupos[Rede],MATCH(tblClientes[[#This Row],[Plataforma]],tblGrupos[Plataforma],0))),"",INDEX(tblGrupos[Rede],MATCH(tblClientes[[#This Row],[Plataforma]],tblGrupos[Plataforma],0)))</f>
        <v/>
      </c>
      <c r="E16" s="7" t="inlineStr">
        <is>
          <t>Multimidia</t>
        </is>
      </c>
      <c r="F16" s="7" t="inlineStr">
        <is>
          <t>192.168.4.31</t>
        </is>
      </c>
      <c r="G16" s="7" t="inlineStr">
        <is>
          <t>Sim</t>
        </is>
      </c>
      <c r="H16" s="9" t="inlineStr">
        <is>
          <t>Finalizado</t>
        </is>
      </c>
      <c r="I16" s="7" t="n"/>
    </row>
    <row r="17">
      <c r="A17" s="7" t="n">
        <v>18</v>
      </c>
      <c r="B17" s="9" t="inlineStr">
        <is>
          <t>Multimídia</t>
        </is>
      </c>
      <c r="C17" s="9" t="inlineStr">
        <is>
          <t>RokuTV Suíte</t>
        </is>
      </c>
      <c r="D17" s="7">
        <f>IF(ISERROR(INDEX(tblGrupos[Rede],MATCH(tblClientes[[#This Row],[Plataforma]],tblGrupos[Plataforma],0))),"",INDEX(tblGrupos[Rede],MATCH(tblClientes[[#This Row],[Plataforma]],tblGrupos[Plataforma],0)))</f>
        <v/>
      </c>
      <c r="E17" s="7" t="inlineStr">
        <is>
          <t>Multimidia</t>
        </is>
      </c>
      <c r="F17" s="7" t="inlineStr">
        <is>
          <t>192.168.4.40</t>
        </is>
      </c>
      <c r="G17" s="7" t="inlineStr">
        <is>
          <t>Sim</t>
        </is>
      </c>
      <c r="H17" s="9" t="inlineStr">
        <is>
          <t>Finalizado</t>
        </is>
      </c>
      <c r="I17" s="1" t="n"/>
    </row>
    <row r="18">
      <c r="A18" s="7" t="n">
        <v>19</v>
      </c>
      <c r="B18" s="9" t="inlineStr">
        <is>
          <t>Tasmota</t>
        </is>
      </c>
      <c r="C18" s="9" t="inlineStr">
        <is>
          <t>Monitores</t>
        </is>
      </c>
      <c r="D18" s="7">
        <f>IF(ISERROR(INDEX(tblGrupos[Rede],MATCH(tblClientes[[#This Row],[Plataforma]],tblGrupos[Plataforma],0))),"",INDEX(tblGrupos[Rede],MATCH(tblClientes[[#This Row],[Plataforma]],tblGrupos[Plataforma],0)))</f>
        <v/>
      </c>
      <c r="E18" s="7" t="inlineStr">
        <is>
          <t>IoT</t>
        </is>
      </c>
      <c r="F18" s="7" t="inlineStr">
        <is>
          <t>192.168.2.90</t>
        </is>
      </c>
      <c r="G18" s="7" t="inlineStr">
        <is>
          <t>Sim</t>
        </is>
      </c>
      <c r="H18" s="9" t="inlineStr">
        <is>
          <t>Finalizado</t>
        </is>
      </c>
      <c r="I18" s="1" t="n"/>
    </row>
    <row r="19">
      <c r="A19" s="7" t="n">
        <v>20</v>
      </c>
      <c r="B19" s="9" t="inlineStr">
        <is>
          <t>Tasmota</t>
        </is>
      </c>
      <c r="C19" s="9" t="inlineStr">
        <is>
          <t>Monitores</t>
        </is>
      </c>
      <c r="D19" s="7">
        <f>IF(ISERROR(INDEX(tblGrupos[Rede],MATCH(tblClientes[[#This Row],[Plataforma]],tblGrupos[Plataforma],0))),"",INDEX(tblGrupos[Rede],MATCH(tblClientes[[#This Row],[Plataforma]],tblGrupos[Plataforma],0)))</f>
        <v/>
      </c>
      <c r="E19" s="7" t="inlineStr">
        <is>
          <t>IoT</t>
        </is>
      </c>
      <c r="F19" s="7" t="inlineStr">
        <is>
          <t>192.168.2.91</t>
        </is>
      </c>
      <c r="G19" s="7" t="inlineStr">
        <is>
          <t>Sim</t>
        </is>
      </c>
      <c r="H19" s="9" t="inlineStr">
        <is>
          <t>Finalizado</t>
        </is>
      </c>
      <c r="I19" s="1" t="n"/>
    </row>
    <row r="20">
      <c r="A20" s="7" t="n">
        <v>21</v>
      </c>
      <c r="B20" s="9" t="inlineStr">
        <is>
          <t>Tasmota</t>
        </is>
      </c>
      <c r="C20" s="9" t="inlineStr">
        <is>
          <t>Luzes de Natal Externa</t>
        </is>
      </c>
      <c r="D20" s="7">
        <f>IF(ISERROR(INDEX(tblGrupos[Rede],MATCH(tblClientes[[#This Row],[Plataforma]],tblGrupos[Plataforma],0))),"",INDEX(tblGrupos[Rede],MATCH(tblClientes[[#This Row],[Plataforma]],tblGrupos[Plataforma],0)))</f>
        <v/>
      </c>
      <c r="E20" s="7" t="inlineStr">
        <is>
          <t>IoT</t>
        </is>
      </c>
      <c r="F20" s="7" t="inlineStr">
        <is>
          <t>192.168.2.92</t>
        </is>
      </c>
      <c r="G20" s="7" t="inlineStr">
        <is>
          <t>Sim</t>
        </is>
      </c>
      <c r="H20" s="9" t="inlineStr">
        <is>
          <t>Finalizado</t>
        </is>
      </c>
      <c r="I20" s="1" t="n"/>
    </row>
    <row r="21">
      <c r="A21" s="7" t="n">
        <v>22</v>
      </c>
      <c r="B21" s="9" t="inlineStr">
        <is>
          <t>Tasmota</t>
        </is>
      </c>
      <c r="C21" s="9" t="inlineStr">
        <is>
          <t>Luzes de Natal Escada</t>
        </is>
      </c>
      <c r="D21" s="7">
        <f>IF(ISERROR(INDEX(tblGrupos[Rede],MATCH(tblClientes[[#This Row],[Plataforma]],tblGrupos[Plataforma],0))),"",INDEX(tblGrupos[Rede],MATCH(tblClientes[[#This Row],[Plataforma]],tblGrupos[Plataforma],0)))</f>
        <v/>
      </c>
      <c r="E21" s="7" t="inlineStr">
        <is>
          <t>IoT</t>
        </is>
      </c>
      <c r="F21" s="7" t="inlineStr">
        <is>
          <t>192.168.2.93</t>
        </is>
      </c>
      <c r="G21" s="7" t="inlineStr">
        <is>
          <t>Sim</t>
        </is>
      </c>
      <c r="H21" s="9" t="inlineStr">
        <is>
          <t>Finalizado</t>
        </is>
      </c>
      <c r="I21" s="1" t="n"/>
    </row>
    <row r="22">
      <c r="A22" s="7" t="n">
        <v>23</v>
      </c>
      <c r="B22" s="9" t="inlineStr">
        <is>
          <t>Tasmota</t>
        </is>
      </c>
      <c r="C22" s="9" t="inlineStr">
        <is>
          <t>Velas de Natal</t>
        </is>
      </c>
      <c r="D22" s="7">
        <f>IF(ISERROR(INDEX(tblGrupos[Rede],MATCH(tblClientes[[#This Row],[Plataforma]],tblGrupos[Plataforma],0))),"",INDEX(tblGrupos[Rede],MATCH(tblClientes[[#This Row],[Plataforma]],tblGrupos[Plataforma],0)))</f>
        <v/>
      </c>
      <c r="E22" s="7" t="inlineStr">
        <is>
          <t>IoT</t>
        </is>
      </c>
      <c r="F22" s="7" t="inlineStr">
        <is>
          <t>192.168.2.94</t>
        </is>
      </c>
      <c r="G22" s="7" t="inlineStr">
        <is>
          <t>Sim</t>
        </is>
      </c>
      <c r="H22" s="9" t="inlineStr">
        <is>
          <t>Finalizado</t>
        </is>
      </c>
      <c r="I22" s="1" t="n"/>
    </row>
    <row r="23">
      <c r="A23" s="7" t="n">
        <v>24</v>
      </c>
      <c r="B23" s="9" t="inlineStr">
        <is>
          <t>Tasmota</t>
        </is>
      </c>
      <c r="C23" s="9" t="inlineStr">
        <is>
          <t>Robo Aspirador</t>
        </is>
      </c>
      <c r="D23" s="7">
        <f>IF(ISERROR(INDEX(tblGrupos[Rede],MATCH(tblClientes[[#This Row],[Plataforma]],tblGrupos[Plataforma],0))),"",INDEX(tblGrupos[Rede],MATCH(tblClientes[[#This Row],[Plataforma]],tblGrupos[Plataforma],0)))</f>
        <v/>
      </c>
      <c r="E23" s="7" t="inlineStr">
        <is>
          <t>IoT</t>
        </is>
      </c>
      <c r="F23" s="7" t="inlineStr">
        <is>
          <t>192.168.2.95</t>
        </is>
      </c>
      <c r="G23" s="7" t="inlineStr">
        <is>
          <t>Não se Aplica</t>
        </is>
      </c>
      <c r="H23" s="9" t="inlineStr">
        <is>
          <t>Finalizado</t>
        </is>
      </c>
      <c r="I23" s="1" t="n"/>
    </row>
    <row r="24">
      <c r="A24" s="7" t="n">
        <v>26</v>
      </c>
      <c r="B24" s="9" t="inlineStr">
        <is>
          <t>SmartThings</t>
        </is>
      </c>
      <c r="C24" s="9" t="inlineStr">
        <is>
          <t>Ar-Condicionado Suíte</t>
        </is>
      </c>
      <c r="D24" s="7">
        <f>IF(ISERROR(INDEX(tblGrupos[Rede],MATCH(tblClientes[[#This Row],[Plataforma]],tblGrupos[Plataforma],0))),"",INDEX(tblGrupos[Rede],MATCH(tblClientes[[#This Row],[Plataforma]],tblGrupos[Plataforma],0)))</f>
        <v/>
      </c>
      <c r="E24" s="7" t="inlineStr">
        <is>
          <t>IoT</t>
        </is>
      </c>
      <c r="F24" s="7" t="inlineStr">
        <is>
          <t>192.168.2.170</t>
        </is>
      </c>
      <c r="G24" s="7" t="inlineStr">
        <is>
          <t>Sim</t>
        </is>
      </c>
      <c r="H24" s="9" t="inlineStr">
        <is>
          <t>Finalizado</t>
        </is>
      </c>
      <c r="I24" s="1" t="n"/>
    </row>
    <row r="25">
      <c r="A25" s="7" t="n">
        <v>27</v>
      </c>
      <c r="B25" s="9" t="inlineStr">
        <is>
          <t>SmartThings</t>
        </is>
      </c>
      <c r="C25" s="9" t="inlineStr">
        <is>
          <t>Ar-Condicionado Sala de TV</t>
        </is>
      </c>
      <c r="D25" s="7">
        <f>IF(ISERROR(INDEX(tblGrupos[Rede],MATCH(tblClientes[[#This Row],[Plataforma]],tblGrupos[Plataforma],0))),"",INDEX(tblGrupos[Rede],MATCH(tblClientes[[#This Row],[Plataforma]],tblGrupos[Plataforma],0)))</f>
        <v/>
      </c>
      <c r="E25" s="7" t="inlineStr">
        <is>
          <t>IoT</t>
        </is>
      </c>
      <c r="F25" s="7" t="inlineStr">
        <is>
          <t>192.168.2.171</t>
        </is>
      </c>
      <c r="G25" s="7" t="inlineStr">
        <is>
          <t>Sim</t>
        </is>
      </c>
      <c r="H25" s="9" t="inlineStr">
        <is>
          <t>Finalizado</t>
        </is>
      </c>
      <c r="I25" s="1" t="n"/>
    </row>
    <row r="26">
      <c r="A26" s="7" t="n">
        <v>28</v>
      </c>
      <c r="B26" s="9" t="inlineStr">
        <is>
          <t>SmartThings</t>
        </is>
      </c>
      <c r="C26" s="9" t="inlineStr">
        <is>
          <t>Ar-Condicionado Escritório</t>
        </is>
      </c>
      <c r="D26" s="7">
        <f>IF(ISERROR(INDEX(tblGrupos[Rede],MATCH(tblClientes[[#This Row],[Plataforma]],tblGrupos[Plataforma],0))),"",INDEX(tblGrupos[Rede],MATCH(tblClientes[[#This Row],[Plataforma]],tblGrupos[Plataforma],0)))</f>
        <v/>
      </c>
      <c r="E26" s="7" t="inlineStr">
        <is>
          <t>IoT</t>
        </is>
      </c>
      <c r="F26" s="7" t="inlineStr">
        <is>
          <t>192.168.2.172</t>
        </is>
      </c>
      <c r="G26" s="7" t="inlineStr">
        <is>
          <t>Sim</t>
        </is>
      </c>
      <c r="H26" s="9" t="inlineStr">
        <is>
          <t>Finalizado</t>
        </is>
      </c>
      <c r="I26" s="1" t="n"/>
    </row>
    <row r="27">
      <c r="A27" s="7" t="n">
        <v>29</v>
      </c>
      <c r="B27" s="9" t="inlineStr">
        <is>
          <t>Computadores</t>
        </is>
      </c>
      <c r="C27" s="9" t="inlineStr">
        <is>
          <t>Desktop</t>
        </is>
      </c>
      <c r="D27" s="7">
        <f>IF(ISERROR(INDEX(tblGrupos[Rede],MATCH(tblClientes[[#This Row],[Plataforma]],tblGrupos[Plataforma],0))),"",INDEX(tblGrupos[Rede],MATCH(tblClientes[[#This Row],[Plataforma]],tblGrupos[Plataforma],0)))</f>
        <v/>
      </c>
      <c r="E27" s="7" t="inlineStr">
        <is>
          <t>Hangar</t>
        </is>
      </c>
      <c r="F27" s="7" t="inlineStr">
        <is>
          <t>192.168.68.180</t>
        </is>
      </c>
      <c r="G27" s="7" t="inlineStr">
        <is>
          <t>Sim</t>
        </is>
      </c>
      <c r="H27" s="9" t="inlineStr">
        <is>
          <t>Finalizado</t>
        </is>
      </c>
      <c r="I27" s="7" t="n"/>
    </row>
    <row r="28">
      <c r="A28" s="7" t="n">
        <v>30</v>
      </c>
      <c r="B28" s="9" t="inlineStr">
        <is>
          <t>Computadores</t>
        </is>
      </c>
      <c r="C28" s="9" t="inlineStr">
        <is>
          <t>Notebook Antonio</t>
        </is>
      </c>
      <c r="D28" s="7">
        <f>IF(ISERROR(INDEX(tblGrupos[Rede],MATCH(tblClientes[[#This Row],[Plataforma]],tblGrupos[Plataforma],0))),"",INDEX(tblGrupos[Rede],MATCH(tblClientes[[#This Row],[Plataforma]],tblGrupos[Plataforma],0)))</f>
        <v/>
      </c>
      <c r="E28" s="7" t="inlineStr">
        <is>
          <t>Hangar</t>
        </is>
      </c>
      <c r="F28" s="7" t="inlineStr">
        <is>
          <t>192.168.68.181</t>
        </is>
      </c>
      <c r="G28" s="7" t="inlineStr">
        <is>
          <t>Não se Aplica</t>
        </is>
      </c>
      <c r="H28" s="9" t="inlineStr">
        <is>
          <t>Finalizado</t>
        </is>
      </c>
      <c r="I28" s="1" t="n"/>
    </row>
    <row r="29">
      <c r="A29" s="7" t="n">
        <v>31</v>
      </c>
      <c r="B29" s="9" t="inlineStr">
        <is>
          <t>Computadores</t>
        </is>
      </c>
      <c r="C29" s="9" t="inlineStr">
        <is>
          <t>Notebook Renata</t>
        </is>
      </c>
      <c r="D29" s="7">
        <f>IF(ISERROR(INDEX(tblGrupos[Rede],MATCH(tblClientes[[#This Row],[Plataforma]],tblGrupos[Plataforma],0))),"",INDEX(tblGrupos[Rede],MATCH(tblClientes[[#This Row],[Plataforma]],tblGrupos[Plataforma],0)))</f>
        <v/>
      </c>
      <c r="E29" s="7" t="inlineStr">
        <is>
          <t>Hangar</t>
        </is>
      </c>
      <c r="F29" s="7" t="inlineStr">
        <is>
          <t>192.168.68.182</t>
        </is>
      </c>
      <c r="G29" s="7" t="inlineStr">
        <is>
          <t>Não se Aplica</t>
        </is>
      </c>
      <c r="H29" s="9" t="inlineStr">
        <is>
          <t>Finalizado</t>
        </is>
      </c>
      <c r="I29" s="1" t="n"/>
    </row>
    <row r="30">
      <c r="A30" s="7" t="n">
        <v>32</v>
      </c>
      <c r="B30" s="9" t="inlineStr">
        <is>
          <t>Sonoff</t>
        </is>
      </c>
      <c r="C30" s="9" t="inlineStr">
        <is>
          <t>Boné</t>
        </is>
      </c>
      <c r="D30" s="7">
        <f>IF(ISERROR(INDEX(tblGrupos[Rede],MATCH(tblClientes[[#This Row],[Plataforma]],tblGrupos[Plataforma],0))),"",INDEX(tblGrupos[Rede],MATCH(tblClientes[[#This Row],[Plataforma]],tblGrupos[Plataforma],0)))</f>
        <v/>
      </c>
      <c r="E30" s="7" t="inlineStr">
        <is>
          <t>IoT</t>
        </is>
      </c>
      <c r="F30" s="7" t="inlineStr">
        <is>
          <t>192.168.2.10</t>
        </is>
      </c>
      <c r="G30" s="7" t="inlineStr">
        <is>
          <t>Sim</t>
        </is>
      </c>
      <c r="H30" s="9" t="inlineStr">
        <is>
          <t>Finalizado</t>
        </is>
      </c>
      <c r="I30" s="1" t="n"/>
    </row>
    <row r="31">
      <c r="A31" s="7" t="n">
        <v>33</v>
      </c>
      <c r="B31" s="9" t="inlineStr">
        <is>
          <t>Sonoff</t>
        </is>
      </c>
      <c r="C31" s="9" t="inlineStr">
        <is>
          <t>Repelente Suíte</t>
        </is>
      </c>
      <c r="D31" s="7">
        <f>IF(ISERROR(INDEX(tblGrupos[Rede],MATCH(tblClientes[[#This Row],[Plataforma]],tblGrupos[Plataforma],0))),"",INDEX(tblGrupos[Rede],MATCH(tblClientes[[#This Row],[Plataforma]],tblGrupos[Plataforma],0)))</f>
        <v/>
      </c>
      <c r="E31" s="7" t="inlineStr">
        <is>
          <t>IoT</t>
        </is>
      </c>
      <c r="F31" s="7" t="inlineStr">
        <is>
          <t>192.168.2.11</t>
        </is>
      </c>
      <c r="G31" s="7" t="inlineStr">
        <is>
          <t>Sim</t>
        </is>
      </c>
      <c r="H31" s="9" t="inlineStr">
        <is>
          <t>Finalizado</t>
        </is>
      </c>
      <c r="I31" s="1" t="n"/>
    </row>
    <row r="32">
      <c r="A32" s="7" t="n">
        <v>34</v>
      </c>
      <c r="B32" s="9" t="inlineStr">
        <is>
          <t>Sonoff</t>
        </is>
      </c>
      <c r="C32" s="9" t="inlineStr">
        <is>
          <t>Repelente Sala de Jantar</t>
        </is>
      </c>
      <c r="D32" s="7">
        <f>IF(ISERROR(INDEX(tblGrupos[Rede],MATCH(tblClientes[[#This Row],[Plataforma]],tblGrupos[Plataforma],0))),"",INDEX(tblGrupos[Rede],MATCH(tblClientes[[#This Row],[Plataforma]],tblGrupos[Plataforma],0)))</f>
        <v/>
      </c>
      <c r="E32" s="7" t="inlineStr">
        <is>
          <t>IoT</t>
        </is>
      </c>
      <c r="F32" s="7" t="inlineStr">
        <is>
          <t>192.168.2.12</t>
        </is>
      </c>
      <c r="G32" s="7" t="inlineStr">
        <is>
          <t>Sim</t>
        </is>
      </c>
      <c r="H32" s="9" t="inlineStr">
        <is>
          <t>Finalizado</t>
        </is>
      </c>
      <c r="I32" s="1" t="n"/>
    </row>
    <row r="33">
      <c r="A33" s="7" t="n">
        <v>35</v>
      </c>
      <c r="B33" s="9" t="inlineStr">
        <is>
          <t>Sonoff</t>
        </is>
      </c>
      <c r="C33" s="9" t="inlineStr">
        <is>
          <t>Luz Brinquedoteca</t>
        </is>
      </c>
      <c r="D33" s="7">
        <f>IF(ISERROR(INDEX(tblGrupos[Rede],MATCH(tblClientes[[#This Row],[Plataforma]],tblGrupos[Plataforma],0))),"",INDEX(tblGrupos[Rede],MATCH(tblClientes[[#This Row],[Plataforma]],tblGrupos[Plataforma],0)))</f>
        <v/>
      </c>
      <c r="E33" s="7" t="inlineStr">
        <is>
          <t>IoT</t>
        </is>
      </c>
      <c r="F33" s="7" t="inlineStr">
        <is>
          <t>192.168.2.13</t>
        </is>
      </c>
      <c r="G33" s="7" t="inlineStr">
        <is>
          <t>Sim</t>
        </is>
      </c>
      <c r="H33" s="9" t="inlineStr">
        <is>
          <t>Finalizado</t>
        </is>
      </c>
      <c r="I33" s="1" t="n"/>
    </row>
    <row r="34">
      <c r="A34" s="7" t="n">
        <v>36</v>
      </c>
      <c r="B34" s="9" t="inlineStr">
        <is>
          <t>Sonoff</t>
        </is>
      </c>
      <c r="C34" s="9" t="inlineStr">
        <is>
          <t>Estação de Trabalho</t>
        </is>
      </c>
      <c r="D34" s="7">
        <f>IF(ISERROR(INDEX(tblGrupos[Rede],MATCH(tblClientes[[#This Row],[Plataforma]],tblGrupos[Plataforma],0))),"",INDEX(tblGrupos[Rede],MATCH(tblClientes[[#This Row],[Plataforma]],tblGrupos[Plataforma],0)))</f>
        <v/>
      </c>
      <c r="E34" s="7" t="inlineStr">
        <is>
          <t>IoT</t>
        </is>
      </c>
      <c r="F34" s="7" t="inlineStr">
        <is>
          <t>192.168.2.14</t>
        </is>
      </c>
      <c r="G34" s="7" t="inlineStr">
        <is>
          <t>Sim</t>
        </is>
      </c>
      <c r="H34" s="9" t="inlineStr">
        <is>
          <t>Finalizado</t>
        </is>
      </c>
      <c r="I34" s="1" t="n"/>
    </row>
    <row r="35">
      <c r="A35" s="7" t="n">
        <v>37</v>
      </c>
      <c r="B35" s="9" t="inlineStr">
        <is>
          <t>Sonoff</t>
        </is>
      </c>
      <c r="C35" s="9" t="inlineStr">
        <is>
          <t>Multimídia Sala</t>
        </is>
      </c>
      <c r="D35" s="7">
        <f>IF(ISERROR(INDEX(tblGrupos[Rede],MATCH(tblClientes[[#This Row],[Plataforma]],tblGrupos[Plataforma],0))),"",INDEX(tblGrupos[Rede],MATCH(tblClientes[[#This Row],[Plataforma]],tblGrupos[Plataforma],0)))</f>
        <v/>
      </c>
      <c r="E35" s="7" t="inlineStr">
        <is>
          <t>IoT</t>
        </is>
      </c>
      <c r="F35" s="7" t="inlineStr">
        <is>
          <t>192.168.2.15</t>
        </is>
      </c>
      <c r="G35" s="7" t="inlineStr">
        <is>
          <t>Sim</t>
        </is>
      </c>
      <c r="H35" s="9" t="inlineStr">
        <is>
          <t>Finalizado</t>
        </is>
      </c>
      <c r="I35" s="1" t="n"/>
    </row>
    <row r="36">
      <c r="A36" s="7" t="n">
        <v>38</v>
      </c>
      <c r="B36" s="9" t="inlineStr">
        <is>
          <t>Sonoff</t>
        </is>
      </c>
      <c r="C36" s="9" t="inlineStr">
        <is>
          <t>Servidor HomeLab</t>
        </is>
      </c>
      <c r="D36" s="7">
        <f>IF(ISERROR(INDEX(tblGrupos[Rede],MATCH(tblClientes[[#This Row],[Plataforma]],tblGrupos[Plataforma],0))),"",INDEX(tblGrupos[Rede],MATCH(tblClientes[[#This Row],[Plataforma]],tblGrupos[Plataforma],0)))</f>
        <v/>
      </c>
      <c r="E36" s="7" t="inlineStr">
        <is>
          <t>IoT</t>
        </is>
      </c>
      <c r="F36" s="7" t="inlineStr">
        <is>
          <t>192.168.2.16</t>
        </is>
      </c>
      <c r="G36" s="7" t="inlineStr">
        <is>
          <t>Sim</t>
        </is>
      </c>
      <c r="H36" s="9" t="inlineStr">
        <is>
          <t>Finalizado</t>
        </is>
      </c>
      <c r="I36" s="7" t="n"/>
    </row>
    <row r="37">
      <c r="A37" s="7" t="n">
        <v>39</v>
      </c>
      <c r="B37" s="9" t="inlineStr">
        <is>
          <t>Sonoff</t>
        </is>
      </c>
      <c r="C37" s="9" t="inlineStr">
        <is>
          <t>Geladeira</t>
        </is>
      </c>
      <c r="D37" s="7">
        <f>IF(ISERROR(INDEX(tblGrupos[Rede],MATCH(tblClientes[[#This Row],[Plataforma]],tblGrupos[Plataforma],0))),"",INDEX(tblGrupos[Rede],MATCH(tblClientes[[#This Row],[Plataforma]],tblGrupos[Plataforma],0)))</f>
        <v/>
      </c>
      <c r="E37" s="7" t="inlineStr">
        <is>
          <t>IoT</t>
        </is>
      </c>
      <c r="F37" s="7" t="inlineStr">
        <is>
          <t>192.168.2.17</t>
        </is>
      </c>
      <c r="G37" s="7" t="inlineStr">
        <is>
          <t>Sim</t>
        </is>
      </c>
      <c r="H37" s="9" t="inlineStr">
        <is>
          <t>Finalizado</t>
        </is>
      </c>
      <c r="I37" s="1" t="n"/>
    </row>
    <row r="38">
      <c r="A38" s="7" t="n">
        <v>40</v>
      </c>
      <c r="B38" s="9" t="inlineStr">
        <is>
          <t>Sonoff</t>
        </is>
      </c>
      <c r="C38" s="9" t="inlineStr">
        <is>
          <t>Bancada Cozinha</t>
        </is>
      </c>
      <c r="D38" s="7">
        <f>IF(ISERROR(INDEX(tblGrupos[Rede],MATCH(tblClientes[[#This Row],[Plataforma]],tblGrupos[Plataforma],0))),"",INDEX(tblGrupos[Rede],MATCH(tblClientes[[#This Row],[Plataforma]],tblGrupos[Plataforma],0)))</f>
        <v/>
      </c>
      <c r="E38" s="7" t="inlineStr">
        <is>
          <t>IoT</t>
        </is>
      </c>
      <c r="F38" s="7" t="inlineStr">
        <is>
          <t>192.168.2.18</t>
        </is>
      </c>
      <c r="G38" s="7" t="inlineStr">
        <is>
          <t>Sim</t>
        </is>
      </c>
      <c r="H38" s="9" t="inlineStr">
        <is>
          <t>Finalizado</t>
        </is>
      </c>
      <c r="I38" s="1" t="n"/>
    </row>
    <row r="39">
      <c r="A39" s="7" t="n">
        <v>41</v>
      </c>
      <c r="B39" s="9" t="inlineStr">
        <is>
          <t>Sonoff</t>
        </is>
      </c>
      <c r="C39" s="9" t="inlineStr">
        <is>
          <t>Desktop</t>
        </is>
      </c>
      <c r="D39" s="7">
        <f>IF(ISERROR(INDEX(tblGrupos[Rede],MATCH(tblClientes[[#This Row],[Plataforma]],tblGrupos[Plataforma],0))),"",INDEX(tblGrupos[Rede],MATCH(tblClientes[[#This Row],[Plataforma]],tblGrupos[Plataforma],0)))</f>
        <v/>
      </c>
      <c r="E39" s="7" t="inlineStr">
        <is>
          <t>IoT</t>
        </is>
      </c>
      <c r="F39" s="7" t="inlineStr">
        <is>
          <t>192.168.2.19</t>
        </is>
      </c>
      <c r="G39" s="7" t="inlineStr">
        <is>
          <t>Sim</t>
        </is>
      </c>
      <c r="H39" s="9" t="inlineStr">
        <is>
          <t>Finalizado</t>
        </is>
      </c>
      <c r="I39" s="1" t="n"/>
    </row>
    <row r="40">
      <c r="A40" s="7" t="n">
        <v>42</v>
      </c>
      <c r="B40" s="9" t="inlineStr">
        <is>
          <t>Sonoff</t>
        </is>
      </c>
      <c r="C40" s="9" t="inlineStr">
        <is>
          <t>Repelente Brinquedoteca</t>
        </is>
      </c>
      <c r="D40" s="7">
        <f>IF(ISERROR(INDEX(tblGrupos[Rede],MATCH(tblClientes[[#This Row],[Plataforma]],tblGrupos[Plataforma],0))),"",INDEX(tblGrupos[Rede],MATCH(tblClientes[[#This Row],[Plataforma]],tblGrupos[Plataforma],0)))</f>
        <v/>
      </c>
      <c r="E40" s="7" t="inlineStr">
        <is>
          <t>IoT</t>
        </is>
      </c>
      <c r="F40" s="7" t="inlineStr">
        <is>
          <t>192.168.2.20</t>
        </is>
      </c>
      <c r="G40" s="7" t="inlineStr">
        <is>
          <t>Sim</t>
        </is>
      </c>
      <c r="H40" s="9" t="inlineStr">
        <is>
          <t>Finalizado</t>
        </is>
      </c>
      <c r="I40" s="1" t="n"/>
    </row>
    <row r="41">
      <c r="A41" s="7" t="n">
        <v>43</v>
      </c>
      <c r="B41" s="9" t="inlineStr">
        <is>
          <t>Sonoff</t>
        </is>
      </c>
      <c r="C41" s="9" t="inlineStr">
        <is>
          <t>Luz Oficina</t>
        </is>
      </c>
      <c r="D41" s="7">
        <f>IF(ISERROR(INDEX(tblGrupos[Rede],MATCH(tblClientes[[#This Row],[Plataforma]],tblGrupos[Plataforma],0))),"",INDEX(tblGrupos[Rede],MATCH(tblClientes[[#This Row],[Plataforma]],tblGrupos[Plataforma],0)))</f>
        <v/>
      </c>
      <c r="E41" s="7" t="inlineStr">
        <is>
          <t>IoT</t>
        </is>
      </c>
      <c r="F41" s="7" t="inlineStr">
        <is>
          <t>192.168.2.21</t>
        </is>
      </c>
      <c r="G41" s="7" t="inlineStr">
        <is>
          <t>Sim</t>
        </is>
      </c>
      <c r="H41" s="9" t="inlineStr">
        <is>
          <t>Finalizado</t>
        </is>
      </c>
      <c r="I41" s="1" t="n"/>
    </row>
    <row r="42">
      <c r="A42" s="7" t="n">
        <v>44</v>
      </c>
      <c r="B42" s="9" t="inlineStr">
        <is>
          <t>Sonoff</t>
        </is>
      </c>
      <c r="C42" s="9" t="inlineStr">
        <is>
          <t>Tomada Sala de TV</t>
        </is>
      </c>
      <c r="D42" s="7">
        <f>IF(ISERROR(INDEX(tblGrupos[Rede],MATCH(tblClientes[[#This Row],[Plataforma]],tblGrupos[Plataforma],0))),"",INDEX(tblGrupos[Rede],MATCH(tblClientes[[#This Row],[Plataforma]],tblGrupos[Plataforma],0)))</f>
        <v/>
      </c>
      <c r="E42" s="7" t="inlineStr">
        <is>
          <t>IoT</t>
        </is>
      </c>
      <c r="F42" s="7" t="inlineStr">
        <is>
          <t>192.168.2.22</t>
        </is>
      </c>
      <c r="G42" s="7" t="inlineStr">
        <is>
          <t>Sim</t>
        </is>
      </c>
      <c r="H42" s="9" t="inlineStr">
        <is>
          <t>Finalizado</t>
        </is>
      </c>
      <c r="I42" s="1" t="n"/>
    </row>
    <row r="43">
      <c r="A43" s="7" t="n">
        <v>45</v>
      </c>
      <c r="B43" s="9" t="inlineStr">
        <is>
          <t>Sonoff</t>
        </is>
      </c>
      <c r="C43" s="9" t="inlineStr">
        <is>
          <t>Espelho Banheiro Social</t>
        </is>
      </c>
      <c r="D43" s="7">
        <f>IF(ISERROR(INDEX(tblGrupos[Rede],MATCH(tblClientes[[#This Row],[Plataforma]],tblGrupos[Plataforma],0))),"",INDEX(tblGrupos[Rede],MATCH(tblClientes[[#This Row],[Plataforma]],tblGrupos[Plataforma],0)))</f>
        <v/>
      </c>
      <c r="E43" s="7" t="inlineStr">
        <is>
          <t>IoT</t>
        </is>
      </c>
      <c r="F43" s="7" t="inlineStr">
        <is>
          <t>192.168.2.23</t>
        </is>
      </c>
      <c r="G43" s="7" t="inlineStr">
        <is>
          <t>Sim</t>
        </is>
      </c>
      <c r="H43" s="9" t="inlineStr">
        <is>
          <t>Finalizado</t>
        </is>
      </c>
      <c r="I43" s="1" t="n"/>
    </row>
    <row r="44">
      <c r="A44" s="7" t="n">
        <v>46</v>
      </c>
      <c r="B44" s="9" t="inlineStr">
        <is>
          <t>Sonoff</t>
        </is>
      </c>
      <c r="C44" s="9" t="inlineStr">
        <is>
          <t>Luz Suíte</t>
        </is>
      </c>
      <c r="D44" s="7">
        <f>IF(ISERROR(INDEX(tblGrupos[Rede],MATCH(tblClientes[[#This Row],[Plataforma]],tblGrupos[Plataforma],0))),"",INDEX(tblGrupos[Rede],MATCH(tblClientes[[#This Row],[Plataforma]],tblGrupos[Plataforma],0)))</f>
        <v/>
      </c>
      <c r="E44" s="7" t="inlineStr">
        <is>
          <t>IoT</t>
        </is>
      </c>
      <c r="F44" s="7" t="inlineStr">
        <is>
          <t>192.168.2.24</t>
        </is>
      </c>
      <c r="G44" s="7" t="inlineStr">
        <is>
          <t>Sim</t>
        </is>
      </c>
      <c r="H44" s="9" t="inlineStr">
        <is>
          <t>Finalizado</t>
        </is>
      </c>
      <c r="I44" s="1" t="n"/>
    </row>
    <row r="45">
      <c r="A45" s="7" t="n">
        <v>47</v>
      </c>
      <c r="B45" s="9" t="inlineStr">
        <is>
          <t>Sonoff</t>
        </is>
      </c>
      <c r="C45" s="9" t="inlineStr">
        <is>
          <t>Luz Banheiro Social</t>
        </is>
      </c>
      <c r="D45" s="7">
        <f>IF(ISERROR(INDEX(tblGrupos[Rede],MATCH(tblClientes[[#This Row],[Plataforma]],tblGrupos[Plataforma],0))),"",INDEX(tblGrupos[Rede],MATCH(tblClientes[[#This Row],[Plataforma]],tblGrupos[Plataforma],0)))</f>
        <v/>
      </c>
      <c r="E45" s="7" t="inlineStr">
        <is>
          <t>IoT</t>
        </is>
      </c>
      <c r="F45" s="7" t="inlineStr">
        <is>
          <t>192.168.2.25</t>
        </is>
      </c>
      <c r="G45" s="7" t="inlineStr">
        <is>
          <t>Sim</t>
        </is>
      </c>
      <c r="H45" s="9" t="inlineStr">
        <is>
          <t>Finalizado</t>
        </is>
      </c>
      <c r="I45" s="1" t="n"/>
    </row>
    <row r="46">
      <c r="A46" s="7" t="n">
        <v>48</v>
      </c>
      <c r="B46" s="9" t="inlineStr">
        <is>
          <t>Sonoff</t>
        </is>
      </c>
      <c r="C46" s="9" t="inlineStr">
        <is>
          <t>Luz Cozinha</t>
        </is>
      </c>
      <c r="D46" s="7">
        <f>IF(ISERROR(INDEX(tblGrupos[Rede],MATCH(tblClientes[[#This Row],[Plataforma]],tblGrupos[Plataforma],0))),"",INDEX(tblGrupos[Rede],MATCH(tblClientes[[#This Row],[Plataforma]],tblGrupos[Plataforma],0)))</f>
        <v/>
      </c>
      <c r="E46" s="7" t="inlineStr">
        <is>
          <t>IoT</t>
        </is>
      </c>
      <c r="F46" s="7" t="inlineStr">
        <is>
          <t>192.168.2.26</t>
        </is>
      </c>
      <c r="G46" s="7" t="inlineStr">
        <is>
          <t>Sim</t>
        </is>
      </c>
      <c r="H46" s="9" t="inlineStr">
        <is>
          <t>Finalizado</t>
        </is>
      </c>
      <c r="I46" s="1" t="n"/>
    </row>
    <row r="47">
      <c r="A47" s="7" t="n">
        <v>49</v>
      </c>
      <c r="B47" s="9" t="inlineStr">
        <is>
          <t>Sonoff</t>
        </is>
      </c>
      <c r="C47" s="9" t="inlineStr">
        <is>
          <t>Impressora 3D</t>
        </is>
      </c>
      <c r="D47" s="7">
        <f>IF(ISERROR(INDEX(tblGrupos[Rede],MATCH(tblClientes[[#This Row],[Plataforma]],tblGrupos[Plataforma],0))),"",INDEX(tblGrupos[Rede],MATCH(tblClientes[[#This Row],[Plataforma]],tblGrupos[Plataforma],0)))</f>
        <v/>
      </c>
      <c r="E47" s="7" t="inlineStr">
        <is>
          <t>IoT</t>
        </is>
      </c>
      <c r="F47" s="7" t="inlineStr">
        <is>
          <t>192.168.2.27</t>
        </is>
      </c>
      <c r="G47" s="7" t="inlineStr">
        <is>
          <t>Sim</t>
        </is>
      </c>
      <c r="H47" s="9" t="inlineStr">
        <is>
          <t>Finalizado</t>
        </is>
      </c>
      <c r="I47" s="1" t="n"/>
    </row>
    <row r="48">
      <c r="A48" s="7" t="n">
        <v>50</v>
      </c>
      <c r="B48" s="9" t="inlineStr">
        <is>
          <t>Sonoff</t>
        </is>
      </c>
      <c r="C48" s="9" t="inlineStr">
        <is>
          <t>Luz Cecília</t>
        </is>
      </c>
      <c r="D48" s="7">
        <f>IF(ISERROR(INDEX(tblGrupos[Rede],MATCH(tblClientes[[#This Row],[Plataforma]],tblGrupos[Plataforma],0))),"",INDEX(tblGrupos[Rede],MATCH(tblClientes[[#This Row],[Plataforma]],tblGrupos[Plataforma],0)))</f>
        <v/>
      </c>
      <c r="E48" s="7" t="inlineStr">
        <is>
          <t>IoT</t>
        </is>
      </c>
      <c r="F48" s="7" t="inlineStr">
        <is>
          <t>192.168.2.28</t>
        </is>
      </c>
      <c r="G48" s="7" t="inlineStr">
        <is>
          <t>Sim</t>
        </is>
      </c>
      <c r="H48" s="9" t="inlineStr">
        <is>
          <t>Finalizado</t>
        </is>
      </c>
      <c r="I48" s="1" t="n"/>
    </row>
    <row r="49">
      <c r="A49" s="7" t="n">
        <v>51</v>
      </c>
      <c r="B49" s="9" t="inlineStr">
        <is>
          <t>Celulares</t>
        </is>
      </c>
      <c r="C49" s="9" t="inlineStr">
        <is>
          <t>Edge50 Antonio</t>
        </is>
      </c>
      <c r="D49" s="7">
        <f>IF(ISERROR(INDEX(tblGrupos[Rede],MATCH(tblClientes[[#This Row],[Plataforma]],tblGrupos[Plataforma],0))),"",INDEX(tblGrupos[Rede],MATCH(tblClientes[[#This Row],[Plataforma]],tblGrupos[Plataforma],0)))</f>
        <v/>
      </c>
      <c r="E49" s="7" t="inlineStr">
        <is>
          <t>Hangar</t>
        </is>
      </c>
      <c r="F49" s="7" t="inlineStr">
        <is>
          <t>192.168.68.160</t>
        </is>
      </c>
      <c r="G49" s="7" t="inlineStr">
        <is>
          <t>Não se Aplica</t>
        </is>
      </c>
      <c r="H49" s="9" t="inlineStr">
        <is>
          <t>Finalizado</t>
        </is>
      </c>
      <c r="I49" s="1" t="n"/>
    </row>
    <row r="50">
      <c r="A50" s="7" t="n">
        <v>52</v>
      </c>
      <c r="B50" s="9" t="inlineStr">
        <is>
          <t>Celulares</t>
        </is>
      </c>
      <c r="C50" s="9" t="inlineStr">
        <is>
          <t>Egde50 Renata</t>
        </is>
      </c>
      <c r="D50" s="7">
        <f>IF(ISERROR(INDEX(tblGrupos[Rede],MATCH(tblClientes[[#This Row],[Plataforma]],tblGrupos[Plataforma],0))),"",INDEX(tblGrupos[Rede],MATCH(tblClientes[[#This Row],[Plataforma]],tblGrupos[Plataforma],0)))</f>
        <v/>
      </c>
      <c r="E50" s="7" t="inlineStr">
        <is>
          <t>Hangar</t>
        </is>
      </c>
      <c r="F50" s="7" t="inlineStr">
        <is>
          <t>192.168.68.161</t>
        </is>
      </c>
      <c r="G50" s="7" t="inlineStr">
        <is>
          <t>Não se Aplica</t>
        </is>
      </c>
      <c r="H50" s="9" t="inlineStr">
        <is>
          <t>Finalizado</t>
        </is>
      </c>
      <c r="I50" s="1" t="n"/>
    </row>
    <row r="51">
      <c r="A51" s="7" t="n">
        <v>53</v>
      </c>
      <c r="B51" s="9" t="inlineStr">
        <is>
          <t>Celulares</t>
        </is>
      </c>
      <c r="C51" s="9" t="inlineStr">
        <is>
          <t>A71 Antonio</t>
        </is>
      </c>
      <c r="D51" s="7">
        <f>IF(ISERROR(INDEX(tblGrupos[Rede],MATCH(tblClientes[[#This Row],[Plataforma]],tblGrupos[Plataforma],0))),"",INDEX(tblGrupos[Rede],MATCH(tblClientes[[#This Row],[Plataforma]],tblGrupos[Plataforma],0)))</f>
        <v/>
      </c>
      <c r="E51" s="7" t="inlineStr">
        <is>
          <t>Hangar</t>
        </is>
      </c>
      <c r="F51" s="7" t="inlineStr">
        <is>
          <t>192.168.68.162</t>
        </is>
      </c>
      <c r="G51" s="7" t="inlineStr">
        <is>
          <t>Não se Aplica</t>
        </is>
      </c>
      <c r="H51" s="9" t="inlineStr">
        <is>
          <t>Finalizado</t>
        </is>
      </c>
      <c r="I51" s="1" t="n"/>
    </row>
    <row r="52">
      <c r="A52" s="7" t="n">
        <v>54</v>
      </c>
      <c r="B52" s="9" t="inlineStr">
        <is>
          <t>Celulares</t>
        </is>
      </c>
      <c r="C52" s="9" t="inlineStr">
        <is>
          <t>M31 Renata</t>
        </is>
      </c>
      <c r="D52" s="7">
        <f>IF(ISERROR(INDEX(tblGrupos[Rede],MATCH(tblClientes[[#This Row],[Plataforma]],tblGrupos[Plataforma],0))),"",INDEX(tblGrupos[Rede],MATCH(tblClientes[[#This Row],[Plataforma]],tblGrupos[Plataforma],0)))</f>
        <v/>
      </c>
      <c r="E52" s="7" t="inlineStr">
        <is>
          <t>Hangar</t>
        </is>
      </c>
      <c r="F52" s="7" t="inlineStr">
        <is>
          <t>192.168.68.163</t>
        </is>
      </c>
      <c r="G52" s="7" t="inlineStr">
        <is>
          <t>Não se Aplica</t>
        </is>
      </c>
      <c r="H52" s="9" t="inlineStr">
        <is>
          <t>Finalizado</t>
        </is>
      </c>
      <c r="I52" s="1" t="n"/>
    </row>
    <row r="53">
      <c r="A53" s="7" t="n">
        <v>55</v>
      </c>
      <c r="B53" s="9" t="inlineStr">
        <is>
          <t>Celulares</t>
        </is>
      </c>
      <c r="C53" s="9" t="inlineStr">
        <is>
          <t>A72 Aeron</t>
        </is>
      </c>
      <c r="D53" s="7">
        <f>IF(ISERROR(INDEX(tblGrupos[Rede],MATCH(tblClientes[[#This Row],[Plataforma]],tblGrupos[Plataforma],0))),"",INDEX(tblGrupos[Rede],MATCH(tblClientes[[#This Row],[Plataforma]],tblGrupos[Plataforma],0)))</f>
        <v/>
      </c>
      <c r="E53" s="7" t="inlineStr">
        <is>
          <t>Hangar</t>
        </is>
      </c>
      <c r="F53" s="7" t="inlineStr">
        <is>
          <t>192.168.68.164</t>
        </is>
      </c>
      <c r="G53" s="7" t="inlineStr">
        <is>
          <t>Não se Aplica</t>
        </is>
      </c>
      <c r="H53" s="9" t="inlineStr">
        <is>
          <t>Finalizado</t>
        </is>
      </c>
      <c r="I53" s="1" t="n"/>
    </row>
    <row r="54">
      <c r="A54" s="7" t="n">
        <v>56</v>
      </c>
      <c r="B54" s="9" t="inlineStr">
        <is>
          <t>Tuya</t>
        </is>
      </c>
      <c r="C54" s="9" t="inlineStr">
        <is>
          <t>Nebulosa</t>
        </is>
      </c>
      <c r="D54" s="7">
        <f>IF(ISERROR(INDEX(tblGrupos[Rede],MATCH(tblClientes[[#This Row],[Plataforma]],tblGrupos[Plataforma],0))),"",INDEX(tblGrupos[Rede],MATCH(tblClientes[[#This Row],[Plataforma]],tblGrupos[Plataforma],0)))</f>
        <v/>
      </c>
      <c r="E54" s="7" t="inlineStr">
        <is>
          <t>IoT</t>
        </is>
      </c>
      <c r="F54" s="7" t="inlineStr">
        <is>
          <t>192.168.2.50</t>
        </is>
      </c>
      <c r="G54" s="7" t="inlineStr">
        <is>
          <t>Sim</t>
        </is>
      </c>
      <c r="H54" s="9" t="inlineStr">
        <is>
          <t>Finalizado</t>
        </is>
      </c>
      <c r="I54" s="1" t="n"/>
    </row>
    <row r="55">
      <c r="A55" s="7" t="n">
        <v>57</v>
      </c>
      <c r="B55" s="9" t="inlineStr">
        <is>
          <t>Tuya</t>
        </is>
      </c>
      <c r="C55" s="9" t="inlineStr">
        <is>
          <t>Umidificador Cecília</t>
        </is>
      </c>
      <c r="D55" s="7">
        <f>IF(ISERROR(INDEX(tblGrupos[Rede],MATCH(tblClientes[[#This Row],[Plataforma]],tblGrupos[Plataforma],0))),"",INDEX(tblGrupos[Rede],MATCH(tblClientes[[#This Row],[Plataforma]],tblGrupos[Plataforma],0)))</f>
        <v/>
      </c>
      <c r="E55" s="7" t="inlineStr">
        <is>
          <t>IoT</t>
        </is>
      </c>
      <c r="F55" s="7" t="inlineStr">
        <is>
          <t>192.168.2.51</t>
        </is>
      </c>
      <c r="G55" s="7" t="inlineStr">
        <is>
          <t>Sim</t>
        </is>
      </c>
      <c r="H55" s="9" t="inlineStr">
        <is>
          <t>Finalizado</t>
        </is>
      </c>
      <c r="I55" s="1" t="n"/>
    </row>
    <row r="56">
      <c r="A56" s="7" t="n">
        <v>58</v>
      </c>
      <c r="B56" s="9" t="inlineStr">
        <is>
          <t>Tuya</t>
        </is>
      </c>
      <c r="C56" s="9" t="inlineStr">
        <is>
          <t>Soldador Repelente</t>
        </is>
      </c>
      <c r="D56" s="7">
        <f>IF(ISERROR(INDEX(tblGrupos[Rede],MATCH(tblClientes[[#This Row],[Plataforma]],tblGrupos[Plataforma],0))),"",INDEX(tblGrupos[Rede],MATCH(tblClientes[[#This Row],[Plataforma]],tblGrupos[Plataforma],0)))</f>
        <v/>
      </c>
      <c r="E56" s="7" t="inlineStr">
        <is>
          <t>IoT</t>
        </is>
      </c>
      <c r="F56" s="7" t="inlineStr">
        <is>
          <t>192.168.2.52</t>
        </is>
      </c>
      <c r="G56" s="7" t="inlineStr">
        <is>
          <t>Sim</t>
        </is>
      </c>
      <c r="H56" s="9" t="inlineStr">
        <is>
          <t>Finalizado</t>
        </is>
      </c>
      <c r="I56" s="1" t="n"/>
    </row>
    <row r="57">
      <c r="A57" s="7" t="n">
        <v>59</v>
      </c>
      <c r="B57" s="9" t="inlineStr">
        <is>
          <t>Tuya</t>
        </is>
      </c>
      <c r="C57" s="9" t="inlineStr">
        <is>
          <t>Cabeceira Antonio</t>
        </is>
      </c>
      <c r="D57" s="7">
        <f>IF(ISERROR(INDEX(tblGrupos[Rede],MATCH(tblClientes[[#This Row],[Plataforma]],tblGrupos[Plataforma],0))),"",INDEX(tblGrupos[Rede],MATCH(tblClientes[[#This Row],[Plataforma]],tblGrupos[Plataforma],0)))</f>
        <v/>
      </c>
      <c r="E57" s="7" t="inlineStr">
        <is>
          <t>IoT</t>
        </is>
      </c>
      <c r="F57" s="7" t="inlineStr">
        <is>
          <t>192.168.2.53</t>
        </is>
      </c>
      <c r="G57" s="7" t="inlineStr">
        <is>
          <t>Sim</t>
        </is>
      </c>
      <c r="H57" s="9" t="inlineStr">
        <is>
          <t>Finalizado</t>
        </is>
      </c>
      <c r="I57" s="1" t="n"/>
    </row>
    <row r="58">
      <c r="A58" s="7" t="n">
        <v>60</v>
      </c>
      <c r="B58" s="9" t="inlineStr">
        <is>
          <t>Tuya</t>
        </is>
      </c>
      <c r="C58" s="9" t="inlineStr">
        <is>
          <t>Cabeceira Renata</t>
        </is>
      </c>
      <c r="D58" s="7">
        <f>IF(ISERROR(INDEX(tblGrupos[Rede],MATCH(tblClientes[[#This Row],[Plataforma]],tblGrupos[Plataforma],0))),"",INDEX(tblGrupos[Rede],MATCH(tblClientes[[#This Row],[Plataforma]],tblGrupos[Plataforma],0)))</f>
        <v/>
      </c>
      <c r="E58" s="7" t="inlineStr">
        <is>
          <t>IoT</t>
        </is>
      </c>
      <c r="F58" s="7" t="inlineStr">
        <is>
          <t>192.168.2.54</t>
        </is>
      </c>
      <c r="G58" s="7" t="inlineStr">
        <is>
          <t>Sim</t>
        </is>
      </c>
      <c r="H58" s="9" t="inlineStr">
        <is>
          <t>Finalizado</t>
        </is>
      </c>
      <c r="I58" s="1" t="n"/>
    </row>
    <row r="59">
      <c r="A59" s="7" t="n">
        <v>61</v>
      </c>
      <c r="B59" s="9" t="inlineStr">
        <is>
          <t>Tuya</t>
        </is>
      </c>
      <c r="C59" s="9" t="inlineStr">
        <is>
          <t>Portão Garagem Maior</t>
        </is>
      </c>
      <c r="D59" s="7">
        <f>IF(ISERROR(INDEX(tblGrupos[Rede],MATCH(tblClientes[[#This Row],[Plataforma]],tblGrupos[Plataforma],0))),"",INDEX(tblGrupos[Rede],MATCH(tblClientes[[#This Row],[Plataforma]],tblGrupos[Plataforma],0)))</f>
        <v/>
      </c>
      <c r="E59" s="7" t="inlineStr">
        <is>
          <t>IoT</t>
        </is>
      </c>
      <c r="F59" s="7" t="inlineStr">
        <is>
          <t>192.168.2.55</t>
        </is>
      </c>
      <c r="G59" s="7" t="inlineStr">
        <is>
          <t>Sim</t>
        </is>
      </c>
      <c r="H59" s="9" t="inlineStr">
        <is>
          <t>Finalizado</t>
        </is>
      </c>
      <c r="I59" s="1" t="n"/>
    </row>
    <row r="60">
      <c r="A60" s="7" t="n">
        <v>62</v>
      </c>
      <c r="B60" s="9" t="inlineStr">
        <is>
          <t>Tuya</t>
        </is>
      </c>
      <c r="C60" s="9" t="inlineStr">
        <is>
          <t>Portão Garagem Menor</t>
        </is>
      </c>
      <c r="D60" s="7">
        <f>IF(ISERROR(INDEX(tblGrupos[Rede],MATCH(tblClientes[[#This Row],[Plataforma]],tblGrupos[Plataforma],0))),"",INDEX(tblGrupos[Rede],MATCH(tblClientes[[#This Row],[Plataforma]],tblGrupos[Plataforma],0)))</f>
        <v/>
      </c>
      <c r="E60" s="7" t="inlineStr">
        <is>
          <t>IoT</t>
        </is>
      </c>
      <c r="F60" s="7" t="inlineStr">
        <is>
          <t>192.168.2.56</t>
        </is>
      </c>
      <c r="G60" s="7" t="inlineStr">
        <is>
          <t>Sim</t>
        </is>
      </c>
      <c r="H60" s="9" t="inlineStr">
        <is>
          <t>Finalizado</t>
        </is>
      </c>
      <c r="I60" s="1" t="n"/>
    </row>
    <row r="61">
      <c r="A61" s="7" t="n">
        <v>63</v>
      </c>
      <c r="B61" s="9" t="inlineStr">
        <is>
          <t>Tuya</t>
        </is>
      </c>
      <c r="C61" s="9" t="inlineStr">
        <is>
          <t>Indicador Alarme</t>
        </is>
      </c>
      <c r="D61" s="7">
        <f>IF(ISERROR(INDEX(tblGrupos[Rede],MATCH(tblClientes[[#This Row],[Plataforma]],tblGrupos[Plataforma],0))),"",INDEX(tblGrupos[Rede],MATCH(tblClientes[[#This Row],[Plataforma]],tblGrupos[Plataforma],0)))</f>
        <v/>
      </c>
      <c r="E61" s="7" t="inlineStr">
        <is>
          <t>IoT</t>
        </is>
      </c>
      <c r="F61" s="7" t="inlineStr">
        <is>
          <t>192.168.2.57</t>
        </is>
      </c>
      <c r="G61" s="7" t="inlineStr">
        <is>
          <t>Sim</t>
        </is>
      </c>
      <c r="H61" s="9" t="inlineStr">
        <is>
          <t>Finalizado</t>
        </is>
      </c>
      <c r="I61" s="1" t="n"/>
    </row>
    <row r="62">
      <c r="A62" s="7" t="n">
        <v>64</v>
      </c>
      <c r="B62" s="9" t="inlineStr">
        <is>
          <t>Tuya</t>
        </is>
      </c>
      <c r="C62" s="9" t="inlineStr">
        <is>
          <t>Termocirculador Cozinha</t>
        </is>
      </c>
      <c r="D62" s="7">
        <f>IF(ISERROR(INDEX(tblGrupos[Rede],MATCH(tblClientes[[#This Row],[Plataforma]],tblGrupos[Plataforma],0))),"",INDEX(tblGrupos[Rede],MATCH(tblClientes[[#This Row],[Plataforma]],tblGrupos[Plataforma],0)))</f>
        <v/>
      </c>
      <c r="E62" s="7" t="inlineStr">
        <is>
          <t>IoT</t>
        </is>
      </c>
      <c r="F62" s="7" t="inlineStr">
        <is>
          <t>192.168.2.58</t>
        </is>
      </c>
      <c r="G62" s="7" t="inlineStr">
        <is>
          <t>Sim</t>
        </is>
      </c>
      <c r="H62" s="9" t="inlineStr">
        <is>
          <t>Finalizado</t>
        </is>
      </c>
      <c r="I62" s="1" t="n"/>
    </row>
    <row r="63">
      <c r="A63" s="7" t="n">
        <v>65</v>
      </c>
      <c r="B63" s="9" t="inlineStr">
        <is>
          <t>Outros</t>
        </is>
      </c>
      <c r="C63" s="9" t="inlineStr">
        <is>
          <t>TTLock - Gatway</t>
        </is>
      </c>
      <c r="D63" s="7">
        <f>IF(ISERROR(INDEX(tblGrupos[Rede],MATCH(tblClientes[[#This Row],[Plataforma]],tblGrupos[Plataforma],0))),"",INDEX(tblGrupos[Rede],MATCH(tblClientes[[#This Row],[Plataforma]],tblGrupos[Plataforma],0)))</f>
        <v/>
      </c>
      <c r="E63" s="7" t="inlineStr">
        <is>
          <t>IoT</t>
        </is>
      </c>
      <c r="F63" s="7" t="inlineStr">
        <is>
          <t>192.168.2.231</t>
        </is>
      </c>
      <c r="G63" s="7" t="inlineStr">
        <is>
          <t>Sim</t>
        </is>
      </c>
      <c r="H63" s="9" t="inlineStr">
        <is>
          <t>Finalizado</t>
        </is>
      </c>
      <c r="I63" s="1" t="n"/>
    </row>
    <row r="64">
      <c r="A64" s="7" t="n">
        <v>66</v>
      </c>
      <c r="B64" s="9" t="inlineStr">
        <is>
          <t>Outros</t>
        </is>
      </c>
      <c r="C64" s="9" t="inlineStr">
        <is>
          <t>BroadLink - Sala de TV</t>
        </is>
      </c>
      <c r="D64" s="7">
        <f>IF(ISERROR(INDEX(tblGrupos[Rede],MATCH(tblClientes[[#This Row],[Plataforma]],tblGrupos[Plataforma],0))),"",INDEX(tblGrupos[Rede],MATCH(tblClientes[[#This Row],[Plataforma]],tblGrupos[Plataforma],0)))</f>
        <v/>
      </c>
      <c r="E64" s="7" t="inlineStr">
        <is>
          <t>IoT</t>
        </is>
      </c>
      <c r="F64" s="7" t="inlineStr">
        <is>
          <t>192.168.2.232</t>
        </is>
      </c>
      <c r="G64" s="7" t="inlineStr">
        <is>
          <t>Sim</t>
        </is>
      </c>
      <c r="H64" s="9" t="inlineStr">
        <is>
          <t>Finalizado</t>
        </is>
      </c>
      <c r="I64" s="1" t="n"/>
    </row>
    <row r="65">
      <c r="A65" s="7" t="n">
        <v>67</v>
      </c>
      <c r="B65" s="9" t="inlineStr">
        <is>
          <t>Outros</t>
        </is>
      </c>
      <c r="C65" s="9" t="inlineStr">
        <is>
          <t>BroadLink - Cecília</t>
        </is>
      </c>
      <c r="D65" s="7">
        <f>IF(ISERROR(INDEX(tblGrupos[Rede],MATCH(tblClientes[[#This Row],[Plataforma]],tblGrupos[Plataforma],0))),"",INDEX(tblGrupos[Rede],MATCH(tblClientes[[#This Row],[Plataforma]],tblGrupos[Plataforma],0)))</f>
        <v/>
      </c>
      <c r="E65" s="7" t="inlineStr">
        <is>
          <t>IoT</t>
        </is>
      </c>
      <c r="F65" s="7" t="inlineStr">
        <is>
          <t>192.168.2.233</t>
        </is>
      </c>
      <c r="G65" s="7" t="inlineStr">
        <is>
          <t>Sim</t>
        </is>
      </c>
      <c r="H65" s="9" t="inlineStr">
        <is>
          <t>Finalizado</t>
        </is>
      </c>
      <c r="I65" s="1" t="n"/>
    </row>
    <row r="66">
      <c r="A66" s="7" t="n">
        <v>68</v>
      </c>
      <c r="B66" s="9" t="inlineStr">
        <is>
          <t>Outros</t>
        </is>
      </c>
      <c r="C66" s="9" t="inlineStr">
        <is>
          <t>Inversor Solar 1</t>
        </is>
      </c>
      <c r="D66" s="7">
        <f>IF(ISERROR(INDEX(tblGrupos[Rede],MATCH(tblClientes[[#This Row],[Plataforma]],tblGrupos[Plataforma],0))),"",INDEX(tblGrupos[Rede],MATCH(tblClientes[[#This Row],[Plataforma]],tblGrupos[Plataforma],0)))</f>
        <v/>
      </c>
      <c r="E66" s="7" t="inlineStr">
        <is>
          <t>IoT</t>
        </is>
      </c>
      <c r="F66" s="7" t="inlineStr">
        <is>
          <t>192.168.2.234</t>
        </is>
      </c>
      <c r="G66" s="7" t="inlineStr">
        <is>
          <t>Sim</t>
        </is>
      </c>
      <c r="H66" s="9" t="inlineStr">
        <is>
          <t>Finalizado</t>
        </is>
      </c>
      <c r="I66" s="1" t="n"/>
    </row>
    <row r="67">
      <c r="A67" s="7" t="n">
        <v>69</v>
      </c>
      <c r="B67" s="9" t="inlineStr">
        <is>
          <t>Outros</t>
        </is>
      </c>
      <c r="C67" s="9" t="inlineStr">
        <is>
          <t>Kron - Usina Solar</t>
        </is>
      </c>
      <c r="D67" s="7">
        <f>IF(ISERROR(INDEX(tblGrupos[Rede],MATCH(tblClientes[[#This Row],[Plataforma]],tblGrupos[Plataforma],0))),"",INDEX(tblGrupos[Rede],MATCH(tblClientes[[#This Row],[Plataforma]],tblGrupos[Plataforma],0)))</f>
        <v/>
      </c>
      <c r="E67" s="7" t="inlineStr">
        <is>
          <t>IoT</t>
        </is>
      </c>
      <c r="F67" s="7" t="inlineStr">
        <is>
          <t>192.168.2.235</t>
        </is>
      </c>
      <c r="G67" s="7" t="inlineStr">
        <is>
          <t>Sim</t>
        </is>
      </c>
      <c r="H67" s="9" t="inlineStr">
        <is>
          <t>Finalizado</t>
        </is>
      </c>
      <c r="I67" s="1" t="n"/>
    </row>
    <row r="68">
      <c r="A68" s="7" t="n">
        <v>70</v>
      </c>
      <c r="B68" s="9" t="inlineStr">
        <is>
          <t>Outros</t>
        </is>
      </c>
      <c r="C68" s="9" t="inlineStr">
        <is>
          <t>Kron - QGD</t>
        </is>
      </c>
      <c r="D68" s="7">
        <f>IF(ISERROR(INDEX(tblGrupos[Rede],MATCH(tblClientes[[#This Row],[Plataforma]],tblGrupos[Plataforma],0))),"",INDEX(tblGrupos[Rede],MATCH(tblClientes[[#This Row],[Plataforma]],tblGrupos[Plataforma],0)))</f>
        <v/>
      </c>
      <c r="E68" s="7" t="inlineStr">
        <is>
          <t>IoT</t>
        </is>
      </c>
      <c r="F68" s="7" t="inlineStr">
        <is>
          <t>192.168.2.236</t>
        </is>
      </c>
      <c r="G68" s="7" t="inlineStr">
        <is>
          <t>Sim</t>
        </is>
      </c>
      <c r="H68" s="9" t="inlineStr">
        <is>
          <t>Finalizado</t>
        </is>
      </c>
      <c r="I68" s="1" t="n"/>
    </row>
    <row r="69">
      <c r="A69" s="7" t="n">
        <v>71</v>
      </c>
      <c r="B69" s="9" t="inlineStr">
        <is>
          <t>Outros</t>
        </is>
      </c>
      <c r="C69" s="9" t="inlineStr">
        <is>
          <t>SLZB-06</t>
        </is>
      </c>
      <c r="D69" s="7">
        <f>IF(ISERROR(INDEX(tblGrupos[Rede],MATCH(tblClientes[[#This Row],[Plataforma]],tblGrupos[Plataforma],0))),"",INDEX(tblGrupos[Rede],MATCH(tblClientes[[#This Row],[Plataforma]],tblGrupos[Plataforma],0)))</f>
        <v/>
      </c>
      <c r="E69" s="7" t="inlineStr">
        <is>
          <t>IoT</t>
        </is>
      </c>
      <c r="F69" s="7" t="inlineStr">
        <is>
          <t>192.168.2.237</t>
        </is>
      </c>
      <c r="G69" s="7" t="inlineStr">
        <is>
          <t>Sim</t>
        </is>
      </c>
      <c r="H69" s="9" t="inlineStr">
        <is>
          <t>Finalizado</t>
        </is>
      </c>
      <c r="I69" s="1" t="n"/>
    </row>
    <row r="70">
      <c r="A70" s="7" t="n">
        <v>72</v>
      </c>
      <c r="B70" s="9" t="inlineStr">
        <is>
          <t>Outros</t>
        </is>
      </c>
      <c r="C70" s="9" t="inlineStr">
        <is>
          <t>Alarme Hikvision</t>
        </is>
      </c>
      <c r="D70" s="7">
        <f>IF(ISERROR(INDEX(tblGrupos[Rede],MATCH(tblClientes[[#This Row],[Plataforma]],tblGrupos[Plataforma],0))),"",INDEX(tblGrupos[Rede],MATCH(tblClientes[[#This Row],[Plataforma]],tblGrupos[Plataforma],0)))</f>
        <v/>
      </c>
      <c r="E70" s="7" t="inlineStr">
        <is>
          <t>IoT</t>
        </is>
      </c>
      <c r="F70" s="7" t="inlineStr">
        <is>
          <t>192.168.2.238</t>
        </is>
      </c>
      <c r="G70" s="7" t="inlineStr">
        <is>
          <t>Sim</t>
        </is>
      </c>
      <c r="H70" s="9" t="inlineStr">
        <is>
          <t>Finalizado</t>
        </is>
      </c>
      <c r="I70" s="1" t="n"/>
    </row>
    <row r="71">
      <c r="A71" s="7" t="n">
        <v>73</v>
      </c>
      <c r="B71" s="9" t="inlineStr">
        <is>
          <t>Outros</t>
        </is>
      </c>
      <c r="C71" s="9" t="inlineStr">
        <is>
          <t>Inversor Solar 2</t>
        </is>
      </c>
      <c r="D71" s="7">
        <f>IF(ISERROR(INDEX(tblGrupos[Rede],MATCH(tblClientes[[#This Row],[Plataforma]],tblGrupos[Plataforma],0))),"",INDEX(tblGrupos[Rede],MATCH(tblClientes[[#This Row],[Plataforma]],tblGrupos[Plataforma],0)))</f>
        <v/>
      </c>
      <c r="E71" s="7" t="inlineStr">
        <is>
          <t>IoT</t>
        </is>
      </c>
      <c r="F71" s="7" t="inlineStr">
        <is>
          <t>192.168.2.239</t>
        </is>
      </c>
      <c r="G71" s="7" t="inlineStr">
        <is>
          <t>Sim</t>
        </is>
      </c>
      <c r="H71" s="9" t="inlineStr">
        <is>
          <t>Finalizado</t>
        </is>
      </c>
      <c r="I71" s="1" t="n"/>
    </row>
    <row r="72">
      <c r="A72" s="7" t="n">
        <v>74</v>
      </c>
      <c r="B72" s="9" t="inlineStr">
        <is>
          <t>Outros</t>
        </is>
      </c>
      <c r="C72" s="9" t="inlineStr">
        <is>
          <t>Geladeira Midea</t>
        </is>
      </c>
      <c r="D72" s="7">
        <f>IF(ISERROR(INDEX(tblGrupos[Rede],MATCH(tblClientes[[#This Row],[Plataforma]],tblGrupos[Plataforma],0))),"",INDEX(tblGrupos[Rede],MATCH(tblClientes[[#This Row],[Plataforma]],tblGrupos[Plataforma],0)))</f>
        <v/>
      </c>
      <c r="E72" s="7" t="inlineStr">
        <is>
          <t>IoT</t>
        </is>
      </c>
      <c r="F72" s="7" t="inlineStr">
        <is>
          <t>192.168.2.240</t>
        </is>
      </c>
      <c r="G72" s="7" t="inlineStr">
        <is>
          <t>Sim</t>
        </is>
      </c>
      <c r="H72" s="9" t="inlineStr">
        <is>
          <t>Finalizado</t>
        </is>
      </c>
      <c r="I72" s="1" t="n"/>
    </row>
    <row r="73">
      <c r="A73" s="7" t="n">
        <v>75</v>
      </c>
      <c r="B73" s="9" t="inlineStr">
        <is>
          <t>Câmeras Internas</t>
        </is>
      </c>
      <c r="C73" s="9" t="inlineStr">
        <is>
          <t>Câmera Suíte</t>
        </is>
      </c>
      <c r="D73" s="7">
        <f>IF(ISERROR(INDEX(tblGrupos[Rede],MATCH(tblClientes[[#This Row],[Plataforma]],tblGrupos[Plataforma],0))),"",INDEX(tblGrupos[Rede],MATCH(tblClientes[[#This Row],[Plataforma]],tblGrupos[Plataforma],0)))</f>
        <v/>
      </c>
      <c r="E73" s="7" t="inlineStr">
        <is>
          <t>CamerasInternas</t>
        </is>
      </c>
      <c r="F73" s="7" t="inlineStr">
        <is>
          <t>192.168.5.10</t>
        </is>
      </c>
      <c r="G73" s="7" t="inlineStr">
        <is>
          <t>Sim</t>
        </is>
      </c>
      <c r="H73" s="9" t="inlineStr">
        <is>
          <t>Finalizado</t>
        </is>
      </c>
      <c r="I73" s="1" t="n"/>
    </row>
    <row r="74">
      <c r="A74" s="7" t="n">
        <v>76</v>
      </c>
      <c r="B74" s="9" t="inlineStr">
        <is>
          <t>Câmeras Internas</t>
        </is>
      </c>
      <c r="C74" s="9" t="inlineStr">
        <is>
          <t>Câmera Cecília</t>
        </is>
      </c>
      <c r="D74" s="7">
        <f>IF(ISERROR(INDEX(tblGrupos[Rede],MATCH(tblClientes[[#This Row],[Plataforma]],tblGrupos[Plataforma],0))),"",INDEX(tblGrupos[Rede],MATCH(tblClientes[[#This Row],[Plataforma]],tblGrupos[Plataforma],0)))</f>
        <v/>
      </c>
      <c r="E74" s="7" t="inlineStr">
        <is>
          <t>CamerasInternas</t>
        </is>
      </c>
      <c r="F74" s="7" t="inlineStr">
        <is>
          <t>192.168.5.11</t>
        </is>
      </c>
      <c r="G74" s="7" t="inlineStr">
        <is>
          <t>Sim</t>
        </is>
      </c>
      <c r="H74" s="9" t="inlineStr">
        <is>
          <t>Finalizado</t>
        </is>
      </c>
      <c r="I74" s="1" t="n"/>
    </row>
    <row r="75">
      <c r="A75" s="7" t="n">
        <v>77</v>
      </c>
      <c r="B75" s="9" t="inlineStr">
        <is>
          <t>Câmeras Internas</t>
        </is>
      </c>
      <c r="C75" s="9" t="inlineStr">
        <is>
          <t>Câmera Brinquedoteca</t>
        </is>
      </c>
      <c r="D75" s="7">
        <f>IF(ISERROR(INDEX(tblGrupos[Rede],MATCH(tblClientes[[#This Row],[Plataforma]],tblGrupos[Plataforma],0))),"",INDEX(tblGrupos[Rede],MATCH(tblClientes[[#This Row],[Plataforma]],tblGrupos[Plataforma],0)))</f>
        <v/>
      </c>
      <c r="E75" s="7" t="inlineStr">
        <is>
          <t>CamerasInternas</t>
        </is>
      </c>
      <c r="F75" s="7" t="inlineStr">
        <is>
          <t>192.168.5.12</t>
        </is>
      </c>
      <c r="G75" s="7" t="inlineStr">
        <is>
          <t>Sim</t>
        </is>
      </c>
      <c r="H75" s="9" t="inlineStr">
        <is>
          <t>Finalizado</t>
        </is>
      </c>
      <c r="I75" s="1" t="n"/>
    </row>
    <row r="76">
      <c r="A76" s="7" t="n">
        <v>78</v>
      </c>
      <c r="B76" s="9" t="inlineStr">
        <is>
          <t>Câmeras Externas</t>
        </is>
      </c>
      <c r="C76" s="9" t="inlineStr">
        <is>
          <t>Câmera Portão</t>
        </is>
      </c>
      <c r="D76" s="7">
        <f>IF(ISERROR(INDEX(tblGrupos[Rede],MATCH(tblClientes[[#This Row],[Plataforma]],tblGrupos[Plataforma],0))),"",INDEX(tblGrupos[Rede],MATCH(tblClientes[[#This Row],[Plataforma]],tblGrupos[Plataforma],0)))</f>
        <v/>
      </c>
      <c r="E76" s="7" t="inlineStr">
        <is>
          <t>CamerasExternas</t>
        </is>
      </c>
      <c r="F76" s="7" t="inlineStr">
        <is>
          <t>192.168.6.10</t>
        </is>
      </c>
      <c r="G76" s="7" t="inlineStr">
        <is>
          <t>Sim</t>
        </is>
      </c>
      <c r="H76" s="9" t="inlineStr">
        <is>
          <t>Finalizado</t>
        </is>
      </c>
      <c r="I76" s="1" t="n"/>
    </row>
    <row r="77">
      <c r="A77" s="7" t="n">
        <v>79</v>
      </c>
      <c r="B77" s="9" t="inlineStr">
        <is>
          <t>Câmeras Externas</t>
        </is>
      </c>
      <c r="C77" s="9" t="inlineStr">
        <is>
          <t>Câmera Garagem</t>
        </is>
      </c>
      <c r="D77" s="7">
        <f>IF(ISERROR(INDEX(tblGrupos[Rede],MATCH(tblClientes[[#This Row],[Plataforma]],tblGrupos[Plataforma],0))),"",INDEX(tblGrupos[Rede],MATCH(tblClientes[[#This Row],[Plataforma]],tblGrupos[Plataforma],0)))</f>
        <v/>
      </c>
      <c r="E77" s="7" t="inlineStr">
        <is>
          <t>CamerasExternas</t>
        </is>
      </c>
      <c r="F77" s="7" t="inlineStr">
        <is>
          <t>192.168.6.11</t>
        </is>
      </c>
      <c r="I77" s="1" t="n"/>
    </row>
    <row r="78">
      <c r="A78" s="7" t="n">
        <v>80</v>
      </c>
      <c r="B78" s="9" t="inlineStr">
        <is>
          <t>Wled</t>
        </is>
      </c>
      <c r="C78" s="9" t="inlineStr">
        <is>
          <t>Letreiro Natal</t>
        </is>
      </c>
      <c r="D78" s="7">
        <f>IF(ISERROR(INDEX(tblGrupos[Rede],MATCH(tblClientes[[#This Row],[Plataforma]],tblGrupos[Plataforma],0))),"",INDEX(tblGrupos[Rede],MATCH(tblClientes[[#This Row],[Plataforma]],tblGrupos[Plataforma],0)))</f>
        <v/>
      </c>
      <c r="E78" s="7" t="inlineStr">
        <is>
          <t>IoT</t>
        </is>
      </c>
      <c r="F78" s="7" t="inlineStr">
        <is>
          <t>192.168.2.210</t>
        </is>
      </c>
      <c r="G78" s="7" t="inlineStr">
        <is>
          <t>Sim</t>
        </is>
      </c>
      <c r="H78" s="9" t="inlineStr">
        <is>
          <t>Finalizado</t>
        </is>
      </c>
      <c r="I78" s="1" t="n"/>
    </row>
    <row r="79">
      <c r="A79" s="7" t="n">
        <v>81</v>
      </c>
      <c r="B79" s="9" t="inlineStr">
        <is>
          <t>ESPHome</t>
        </is>
      </c>
      <c r="C79" s="9" t="inlineStr">
        <is>
          <t>Bancada Oficina</t>
        </is>
      </c>
      <c r="D79" s="7">
        <f>IF(ISERROR(INDEX(tblGrupos[Rede],MATCH(tblClientes[[#This Row],[Plataforma]],tblGrupos[Plataforma],0))),"",INDEX(tblGrupos[Rede],MATCH(tblClientes[[#This Row],[Plataforma]],tblGrupos[Plataforma],0)))</f>
        <v/>
      </c>
      <c r="E79" s="7" t="inlineStr">
        <is>
          <t>IoT</t>
        </is>
      </c>
      <c r="F79" s="7" t="inlineStr">
        <is>
          <t>192.168.2.130</t>
        </is>
      </c>
      <c r="G79" s="7" t="inlineStr">
        <is>
          <t>Sim</t>
        </is>
      </c>
      <c r="H79" s="9" t="inlineStr">
        <is>
          <t>Finalizado</t>
        </is>
      </c>
      <c r="I79" s="1" t="n"/>
    </row>
    <row r="80">
      <c r="A80" s="7" t="n">
        <v>82</v>
      </c>
      <c r="B80" s="9" t="inlineStr">
        <is>
          <t>ESPHome</t>
        </is>
      </c>
      <c r="C80" s="9" t="inlineStr">
        <is>
          <t>Forno Área Gourmet</t>
        </is>
      </c>
      <c r="D80" s="7">
        <f>IF(ISERROR(INDEX(tblGrupos[Rede],MATCH(tblClientes[[#This Row],[Plataforma]],tblGrupos[Plataforma],0))),"",INDEX(tblGrupos[Rede],MATCH(tblClientes[[#This Row],[Plataforma]],tblGrupos[Plataforma],0)))</f>
        <v/>
      </c>
      <c r="E80" s="7" t="inlineStr">
        <is>
          <t>IoT</t>
        </is>
      </c>
      <c r="F80" s="7" t="inlineStr">
        <is>
          <t>192.168.2.131</t>
        </is>
      </c>
      <c r="G80" s="7" t="inlineStr">
        <is>
          <t>Sim</t>
        </is>
      </c>
      <c r="H80" s="9" t="inlineStr">
        <is>
          <t>Finalizado</t>
        </is>
      </c>
      <c r="I80" s="1" t="n"/>
    </row>
    <row r="81">
      <c r="A81" s="7" t="n">
        <v>83</v>
      </c>
      <c r="B81" s="9" t="inlineStr">
        <is>
          <t>ESPHome</t>
        </is>
      </c>
      <c r="C81" s="9" t="inlineStr">
        <is>
          <t>Jardim Japonês</t>
        </is>
      </c>
      <c r="D81" s="7">
        <f>IF(ISERROR(INDEX(tblGrupos[Rede],MATCH(tblClientes[[#This Row],[Plataforma]],tblGrupos[Plataforma],0))),"",INDEX(tblGrupos[Rede],MATCH(tblClientes[[#This Row],[Plataforma]],tblGrupos[Plataforma],0)))</f>
        <v/>
      </c>
      <c r="E81" s="7" t="inlineStr">
        <is>
          <t>IoT</t>
        </is>
      </c>
      <c r="F81" s="7" t="inlineStr">
        <is>
          <t>192.168.2.132</t>
        </is>
      </c>
      <c r="G81" s="7" t="inlineStr">
        <is>
          <t>Sim</t>
        </is>
      </c>
      <c r="H81" s="9" t="inlineStr">
        <is>
          <t>Finalizado</t>
        </is>
      </c>
      <c r="I81" s="1" t="n"/>
    </row>
    <row r="82">
      <c r="A82" s="7" t="n">
        <v>84</v>
      </c>
      <c r="B82" s="9" t="inlineStr">
        <is>
          <t>ESPHome</t>
        </is>
      </c>
      <c r="C82" s="9" t="inlineStr">
        <is>
          <t>Aquecedor Solar</t>
        </is>
      </c>
      <c r="D82" s="7">
        <f>IF(ISERROR(INDEX(tblGrupos[Rede],MATCH(tblClientes[[#This Row],[Plataforma]],tblGrupos[Plataforma],0))),"",INDEX(tblGrupos[Rede],MATCH(tblClientes[[#This Row],[Plataforma]],tblGrupos[Plataforma],0)))</f>
        <v/>
      </c>
      <c r="E82" s="7" t="inlineStr">
        <is>
          <t>IoT</t>
        </is>
      </c>
      <c r="F82" s="7" t="inlineStr">
        <is>
          <t>192.168.2.133</t>
        </is>
      </c>
      <c r="G82" s="7" t="inlineStr">
        <is>
          <t>Sim</t>
        </is>
      </c>
      <c r="H82" s="9" t="inlineStr">
        <is>
          <t>Finalizado</t>
        </is>
      </c>
      <c r="I82" s="1" t="n"/>
    </row>
    <row r="83">
      <c r="A83" s="7" t="n">
        <v>85</v>
      </c>
      <c r="B83" s="9" t="inlineStr">
        <is>
          <t>ESPHome</t>
        </is>
      </c>
      <c r="C83" s="9" t="inlineStr">
        <is>
          <t>Ar Condicionado - Quarto Cecília</t>
        </is>
      </c>
      <c r="D83" s="7">
        <f>IF(ISERROR(INDEX(tblGrupos[Rede],MATCH(tblClientes[[#This Row],[Plataforma]],tblGrupos[Plataforma],0))),"",INDEX(tblGrupos[Rede],MATCH(tblClientes[[#This Row],[Plataforma]],tblGrupos[Plataforma],0)))</f>
        <v/>
      </c>
      <c r="E83" s="7" t="inlineStr">
        <is>
          <t>IoT</t>
        </is>
      </c>
      <c r="F83" s="7" t="inlineStr">
        <is>
          <t>192.168.2.134</t>
        </is>
      </c>
      <c r="G83" s="7" t="inlineStr">
        <is>
          <t>Sim</t>
        </is>
      </c>
      <c r="H83" s="9" t="inlineStr">
        <is>
          <t>Finalizado</t>
        </is>
      </c>
      <c r="I83" s="1" t="n"/>
    </row>
    <row r="84">
      <c r="A84" s="7" t="n">
        <v>86</v>
      </c>
      <c r="B84" s="9" t="inlineStr">
        <is>
          <t>ESPHome</t>
        </is>
      </c>
      <c r="C84" s="9" t="inlineStr">
        <is>
          <t>Caixa d´agua</t>
        </is>
      </c>
      <c r="D84" s="7">
        <f>IF(ISERROR(INDEX(tblGrupos[Rede],MATCH(tblClientes[[#This Row],[Plataforma]],tblGrupos[Plataforma],0))),"",INDEX(tblGrupos[Rede],MATCH(tblClientes[[#This Row],[Plataforma]],tblGrupos[Plataforma],0)))</f>
        <v/>
      </c>
      <c r="E84" s="7" t="inlineStr">
        <is>
          <t>IoT</t>
        </is>
      </c>
      <c r="F84" s="7" t="inlineStr">
        <is>
          <t>192.168.2.135</t>
        </is>
      </c>
      <c r="G84" s="7" t="inlineStr">
        <is>
          <t>Sim</t>
        </is>
      </c>
      <c r="H84" s="9" t="inlineStr">
        <is>
          <t>Finalizado</t>
        </is>
      </c>
      <c r="I84" s="1" t="n"/>
    </row>
    <row r="85">
      <c r="A85" s="7" t="n">
        <v>87</v>
      </c>
      <c r="B85" s="9" t="inlineStr">
        <is>
          <t>ESPHome</t>
        </is>
      </c>
      <c r="C85" s="9" t="inlineStr">
        <is>
          <t>Chuveiro Suíte</t>
        </is>
      </c>
      <c r="D85" s="7">
        <f>IF(ISERROR(INDEX(tblGrupos[Rede],MATCH(tblClientes[[#This Row],[Plataforma]],tblGrupos[Plataforma],0))),"",INDEX(tblGrupos[Rede],MATCH(tblClientes[[#This Row],[Plataforma]],tblGrupos[Plataforma],0)))</f>
        <v/>
      </c>
      <c r="E85" s="7" t="inlineStr">
        <is>
          <t>IoT</t>
        </is>
      </c>
      <c r="F85" s="7" t="inlineStr">
        <is>
          <t>192.168.2.136</t>
        </is>
      </c>
      <c r="G85" s="7" t="inlineStr">
        <is>
          <t>Sim</t>
        </is>
      </c>
      <c r="H85" s="9" t="inlineStr">
        <is>
          <t>Finalizado</t>
        </is>
      </c>
      <c r="I85" s="1" t="n"/>
    </row>
    <row r="86">
      <c r="A86" s="7" t="n">
        <v>88</v>
      </c>
      <c r="B86" s="9" t="inlineStr">
        <is>
          <t>ESPHome</t>
        </is>
      </c>
      <c r="C86" s="9" t="inlineStr">
        <is>
          <t>Interfone</t>
        </is>
      </c>
      <c r="D86" s="7">
        <f>IF(ISERROR(INDEX(tblGrupos[Rede],MATCH(tblClientes[[#This Row],[Plataforma]],tblGrupos[Plataforma],0))),"",INDEX(tblGrupos[Rede],MATCH(tblClientes[[#This Row],[Plataforma]],tblGrupos[Plataforma],0)))</f>
        <v/>
      </c>
      <c r="E86" s="7" t="inlineStr">
        <is>
          <t>IoT</t>
        </is>
      </c>
      <c r="F86" s="7" t="inlineStr">
        <is>
          <t>192.168.2.137</t>
        </is>
      </c>
      <c r="G86" s="7" t="inlineStr">
        <is>
          <t>Sim</t>
        </is>
      </c>
      <c r="H86" s="9" t="inlineStr">
        <is>
          <t>Finalizado</t>
        </is>
      </c>
      <c r="I86" s="1" t="n"/>
    </row>
    <row r="87">
      <c r="A87" s="7" t="n">
        <v>89</v>
      </c>
      <c r="B87" s="9" t="inlineStr">
        <is>
          <t>ESPHome</t>
        </is>
      </c>
      <c r="C87" s="9" t="inlineStr">
        <is>
          <t>LD2410 Brinquedoteca</t>
        </is>
      </c>
      <c r="D87" s="7">
        <f>IF(ISERROR(INDEX(tblGrupos[Rede],MATCH(tblClientes[[#This Row],[Plataforma]],tblGrupos[Plataforma],0))),"",INDEX(tblGrupos[Rede],MATCH(tblClientes[[#This Row],[Plataforma]],tblGrupos[Plataforma],0)))</f>
        <v/>
      </c>
      <c r="E87" s="7" t="inlineStr">
        <is>
          <t>IoT</t>
        </is>
      </c>
      <c r="F87" s="7" t="inlineStr">
        <is>
          <t>192.168.2.138</t>
        </is>
      </c>
      <c r="G87" s="7" t="inlineStr">
        <is>
          <t>Sim</t>
        </is>
      </c>
      <c r="H87" s="9" t="inlineStr">
        <is>
          <t>Finalizado</t>
        </is>
      </c>
      <c r="I87" s="1" t="n"/>
    </row>
    <row r="88">
      <c r="A88" s="7" t="n">
        <v>90</v>
      </c>
      <c r="B88" s="9" t="inlineStr">
        <is>
          <t>ESPHome</t>
        </is>
      </c>
      <c r="C88" s="9" t="inlineStr">
        <is>
          <t>LD2410 Quarto da Cecília</t>
        </is>
      </c>
      <c r="D88" s="7">
        <f>IF(ISERROR(INDEX(tblGrupos[Rede],MATCH(tblClientes[[#This Row],[Plataforma]],tblGrupos[Plataforma],0))),"",INDEX(tblGrupos[Rede],MATCH(tblClientes[[#This Row],[Plataforma]],tblGrupos[Plataforma],0)))</f>
        <v/>
      </c>
      <c r="E88" s="7" t="inlineStr">
        <is>
          <t>IoT</t>
        </is>
      </c>
      <c r="F88" s="7" t="inlineStr">
        <is>
          <t>192.168.2.139</t>
        </is>
      </c>
      <c r="G88" s="7" t="inlineStr">
        <is>
          <t>Sim</t>
        </is>
      </c>
      <c r="H88" s="9" t="inlineStr">
        <is>
          <t>Finalizado</t>
        </is>
      </c>
      <c r="I88" s="1" t="n"/>
    </row>
    <row r="89">
      <c r="A89" s="7" t="n">
        <v>91</v>
      </c>
      <c r="B89" s="9" t="inlineStr">
        <is>
          <t>ESPHome</t>
        </is>
      </c>
      <c r="C89" s="9" t="inlineStr">
        <is>
          <t>Ventilador Sala de Jantar</t>
        </is>
      </c>
      <c r="D89" s="7">
        <f>IF(ISERROR(INDEX(tblGrupos[Rede],MATCH(tblClientes[[#This Row],[Plataforma]],tblGrupos[Plataforma],0))),"",INDEX(tblGrupos[Rede],MATCH(tblClientes[[#This Row],[Plataforma]],tblGrupos[Plataforma],0)))</f>
        <v/>
      </c>
      <c r="E89" s="7" t="inlineStr">
        <is>
          <t>IoT</t>
        </is>
      </c>
      <c r="F89" s="7" t="inlineStr">
        <is>
          <t>192.168.2.140</t>
        </is>
      </c>
      <c r="G89" s="7" t="inlineStr">
        <is>
          <t>Sim</t>
        </is>
      </c>
      <c r="H89" s="9" t="inlineStr">
        <is>
          <t>Finalizado</t>
        </is>
      </c>
      <c r="I89" s="1" t="n"/>
    </row>
    <row r="90">
      <c r="A90" s="7" t="n">
        <v>92</v>
      </c>
      <c r="B90" s="9" t="inlineStr">
        <is>
          <t>ESPHome</t>
        </is>
      </c>
      <c r="C90" s="9" t="inlineStr">
        <is>
          <t>LD2410 Escritório</t>
        </is>
      </c>
      <c r="D90" s="7">
        <f>IF(ISERROR(INDEX(tblGrupos[Rede],MATCH(tblClientes[[#This Row],[Plataforma]],tblGrupos[Plataforma],0))),"",INDEX(tblGrupos[Rede],MATCH(tblClientes[[#This Row],[Plataforma]],tblGrupos[Plataforma],0)))</f>
        <v/>
      </c>
      <c r="E90" s="7" t="inlineStr">
        <is>
          <t>IoT</t>
        </is>
      </c>
      <c r="F90" s="7" t="inlineStr">
        <is>
          <t>192.168.2.141</t>
        </is>
      </c>
      <c r="G90" s="7" t="inlineStr">
        <is>
          <t>Sim</t>
        </is>
      </c>
      <c r="H90" s="9" t="inlineStr">
        <is>
          <t>Finalizado</t>
        </is>
      </c>
      <c r="I90" s="1" t="n"/>
    </row>
    <row r="91">
      <c r="A91" s="7" t="n">
        <v>93</v>
      </c>
      <c r="B91" s="9" t="inlineStr">
        <is>
          <t>ESPHome</t>
        </is>
      </c>
      <c r="C91" s="9" t="inlineStr">
        <is>
          <t>Balança Cecília</t>
        </is>
      </c>
      <c r="D91" s="7">
        <f>IF(ISERROR(INDEX(tblGrupos[Rede],MATCH(tblClientes[[#This Row],[Plataforma]],tblGrupos[Plataforma],0))),"",INDEX(tblGrupos[Rede],MATCH(tblClientes[[#This Row],[Plataforma]],tblGrupos[Plataforma],0)))</f>
        <v/>
      </c>
      <c r="E91" s="7" t="inlineStr">
        <is>
          <t>IoT</t>
        </is>
      </c>
      <c r="F91" s="7" t="inlineStr">
        <is>
          <t>192.168.2.142</t>
        </is>
      </c>
      <c r="G91" s="7" t="inlineStr">
        <is>
          <t>Sim</t>
        </is>
      </c>
      <c r="I91" s="1" t="n"/>
    </row>
    <row r="92">
      <c r="A92" s="7" t="n">
        <v>94</v>
      </c>
      <c r="B92" s="9" t="inlineStr">
        <is>
          <t>ESPHome</t>
        </is>
      </c>
      <c r="C92" s="9" t="inlineStr">
        <is>
          <t>Alarme</t>
        </is>
      </c>
      <c r="D92" s="7">
        <f>IF(ISERROR(INDEX(tblGrupos[Rede],MATCH(tblClientes[[#This Row],[Plataforma]],tblGrupos[Plataforma],0))),"",INDEX(tblGrupos[Rede],MATCH(tblClientes[[#This Row],[Plataforma]],tblGrupos[Plataforma],0)))</f>
        <v/>
      </c>
      <c r="E92" s="7" t="inlineStr">
        <is>
          <t>IoT</t>
        </is>
      </c>
      <c r="F92" s="7" t="inlineStr">
        <is>
          <t>192.168.2.143</t>
        </is>
      </c>
      <c r="G92" s="7" t="inlineStr">
        <is>
          <t>Sim</t>
        </is>
      </c>
      <c r="H92" s="9" t="inlineStr">
        <is>
          <t>Finalizado</t>
        </is>
      </c>
      <c r="I92" s="1" t="n"/>
    </row>
    <row r="93">
      <c r="A93" s="7" t="n">
        <v>95</v>
      </c>
      <c r="B93" s="9" t="inlineStr">
        <is>
          <t>ESPHome</t>
        </is>
      </c>
      <c r="C93" s="9" t="inlineStr">
        <is>
          <t>Gás Cozinha</t>
        </is>
      </c>
      <c r="D93" s="7">
        <f>IF(ISERROR(INDEX(tblGrupos[Rede],MATCH(tblClientes[[#This Row],[Plataforma]],tblGrupos[Plataforma],0))),"",INDEX(tblGrupos[Rede],MATCH(tblClientes[[#This Row],[Plataforma]],tblGrupos[Plataforma],0)))</f>
        <v/>
      </c>
      <c r="E93" s="7" t="inlineStr">
        <is>
          <t>IoT</t>
        </is>
      </c>
      <c r="F93" s="7" t="inlineStr">
        <is>
          <t>192.168.2.144</t>
        </is>
      </c>
      <c r="G93" s="7" t="inlineStr">
        <is>
          <t>Sim</t>
        </is>
      </c>
      <c r="H93" s="9" t="inlineStr">
        <is>
          <t>Finalizado</t>
        </is>
      </c>
      <c r="I93" s="1" t="n"/>
    </row>
    <row r="94">
      <c r="A94" s="7" t="n">
        <v>96</v>
      </c>
      <c r="B94" s="9" t="inlineStr">
        <is>
          <t>ESPHome</t>
        </is>
      </c>
      <c r="C94" s="9" t="inlineStr">
        <is>
          <t>Hidrômetro Entrada</t>
        </is>
      </c>
      <c r="D94" s="7">
        <f>IF(ISERROR(INDEX(tblGrupos[Rede],MATCH(tblClientes[[#This Row],[Plataforma]],tblGrupos[Plataforma],0))),"",INDEX(tblGrupos[Rede],MATCH(tblClientes[[#This Row],[Plataforma]],tblGrupos[Plataforma],0)))</f>
        <v/>
      </c>
      <c r="E94" s="7" t="inlineStr">
        <is>
          <t>IoT</t>
        </is>
      </c>
      <c r="F94" s="7" t="inlineStr">
        <is>
          <t>192.168.2.146</t>
        </is>
      </c>
      <c r="G94" s="7" t="inlineStr">
        <is>
          <t>Sim</t>
        </is>
      </c>
      <c r="H94" s="9" t="inlineStr">
        <is>
          <t>Finalizado</t>
        </is>
      </c>
      <c r="I94" s="1" t="n"/>
    </row>
    <row r="95">
      <c r="A95" s="7" t="n">
        <v>97</v>
      </c>
      <c r="B95" s="7" t="inlineStr">
        <is>
          <t>Alexa - Echo</t>
        </is>
      </c>
      <c r="C95" s="7" t="inlineStr">
        <is>
          <t>Echo Show Sala de Jantar</t>
        </is>
      </c>
      <c r="D95" s="7">
        <f>IF(ISERROR(INDEX(tblGrupos[Rede],MATCH(tblClientes[[#This Row],[Plataforma]],tblGrupos[Plataforma],0))),"",INDEX(tblGrupos[Rede],MATCH(tblClientes[[#This Row],[Plataforma]],tblGrupos[Plataforma],0)))</f>
        <v/>
      </c>
      <c r="E95" s="7" t="inlineStr">
        <is>
          <t>Multimidia</t>
        </is>
      </c>
      <c r="F95" s="7" t="inlineStr">
        <is>
          <t>192.168.4.19</t>
        </is>
      </c>
      <c r="G95" s="7" t="inlineStr">
        <is>
          <t>Sim</t>
        </is>
      </c>
      <c r="H95" s="7" t="inlineStr">
        <is>
          <t>Finalizado</t>
        </is>
      </c>
    </row>
    <row r="96">
      <c r="A96" s="7" t="n">
        <v>98</v>
      </c>
      <c r="B96" s="7" t="inlineStr">
        <is>
          <t>Sonoff</t>
        </is>
      </c>
      <c r="C96" s="7" t="inlineStr">
        <is>
          <t>Estante Aviões</t>
        </is>
      </c>
      <c r="D96" s="7">
        <f>IF(ISERROR(INDEX(tblGrupos[Rede],MATCH(tblClientes[[#This Row],[Plataforma]],tblGrupos[Plataforma],0))),"",INDEX(tblGrupos[Rede],MATCH(tblClientes[[#This Row],[Plataforma]],tblGrupos[Plataforma],0)))</f>
        <v/>
      </c>
      <c r="E96" s="7" t="inlineStr">
        <is>
          <t>IoT</t>
        </is>
      </c>
      <c r="F96" s="7" t="inlineStr">
        <is>
          <t>192.168.2.29</t>
        </is>
      </c>
      <c r="G96" s="7" t="inlineStr">
        <is>
          <t>Sim</t>
        </is>
      </c>
      <c r="H96" s="7" t="inlineStr">
        <is>
          <t>Finalizado</t>
        </is>
      </c>
      <c r="I96" s="7" t="n"/>
    </row>
    <row r="97">
      <c r="A97" s="7" t="n">
        <v>99</v>
      </c>
      <c r="B97" s="9" t="inlineStr">
        <is>
          <t>Servidor</t>
        </is>
      </c>
      <c r="C97" s="9" t="inlineStr">
        <is>
          <t>AdGuard Backup</t>
        </is>
      </c>
      <c r="D97" s="7">
        <f>IF(ISERROR(INDEX(tblGrupos[Rede],MATCH(tblClientes[[#This Row],[Plataforma]],tblGrupos[Plataforma],0))),"",INDEX(tblGrupos[Rede],MATCH(tblClientes[[#This Row],[Plataforma]],tblGrupos[Plataforma],0)))</f>
        <v/>
      </c>
      <c r="E97" s="7" t="inlineStr">
        <is>
          <t>Servidor</t>
        </is>
      </c>
      <c r="F97" s="7" t="inlineStr">
        <is>
          <t>192.168.3.22</t>
        </is>
      </c>
      <c r="G97" s="7" t="inlineStr">
        <is>
          <t>Não se Aplica</t>
        </is>
      </c>
      <c r="H97" s="9" t="inlineStr">
        <is>
          <t>Finalizado</t>
        </is>
      </c>
      <c r="I97" s="1" t="inlineStr">
        <is>
          <t>Pi Zero 2 W, MAC e4:5f:01:8f:21:d9. Wi-Fi Hangar com override UniFi para VLAN Servidor. DNS secundário.</t>
        </is>
      </c>
    </row>
    <row r="98">
      <c r="A98" t="n">
        <v>100</v>
      </c>
      <c r="B98" t="inlineStr">
        <is>
          <t>Tuya</t>
        </is>
      </c>
      <c r="C98" t="inlineStr">
        <is>
          <t>Relógio Suíte</t>
        </is>
      </c>
      <c r="D98">
        <f>IF(ISERROR(INDEX(tblGrupos[Rede],MATCH(tblClientes[[#This Row],[Plataforma]],tblGrupos[Plataforma],0))),"",INDEX(tblGrupos[Rede],MATCH(tblClientes[[#This Row],[Plataforma]],tblGrupos[Plataforma],0)))</f>
        <v/>
      </c>
      <c r="E98" t="inlineStr">
        <is>
          <t>IoT</t>
        </is>
      </c>
      <c r="F98" t="inlineStr">
        <is>
          <t>192.168.2.59</t>
        </is>
      </c>
      <c r="G98" t="inlineStr">
        <is>
          <t>Sim</t>
        </is>
      </c>
      <c r="H98" t="inlineStr">
        <is>
          <t>Finalizado</t>
        </is>
      </c>
      <c r="I98" t="inlineStr">
        <is>
          <t>MAC c0:f8:53:65:b9:77; Tuya eb3f4780d62224fe1epmtg; LocalTuya</t>
        </is>
      </c>
    </row>
  </sheetData>
  <dataValidations count="3">
    <dataValidation sqref="B2:B78 B79:B99" showErrorMessage="1" showInputMessage="1" allowBlank="1" type="list">
      <formula1>ListaPlataforma</formula1>
    </dataValidation>
    <dataValidation sqref="H2:H78 H79:H99" showErrorMessage="1" showInputMessage="1" allowBlank="1" type="list">
      <formula1>"Finalizado,Pendente"</formula1>
    </dataValidation>
    <dataValidation sqref="G2:G78 G79:G99" showErrorMessage="1" showInputMessage="1" allowBlank="1" type="list">
      <formula1>"Sim,Não se Aplica,Implementar"</formula1>
    </dataValidation>
  </dataValidation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Antonio Rafael da Silva Filho</dc:creator>
  <dcterms:created xmlns:dcterms="http://purl.org/dc/terms/" xmlns:xsi="http://www.w3.org/2001/XMLSchema-instance" xsi:type="dcterms:W3CDTF">2025-12-23T13:22:10Z</dcterms:created>
  <dcterms:modified xmlns:dcterms="http://purl.org/dc/terms/" xmlns:xsi="http://www.w3.org/2001/XMLSchema-instance" xsi:type="dcterms:W3CDTF">2026-09-05T14:30:13Z</dcterms:modified>
  <cp:lastModifiedBy>Antonio Rafael da Silva Filho</cp:lastModifiedBy>
</cp:coreProperties>
</file>